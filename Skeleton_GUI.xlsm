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COR\Documents\Classes\Spring 2021\Thesis\FINAL GUI\"/>
    </mc:Choice>
  </mc:AlternateContent>
  <xr:revisionPtr revIDLastSave="0" documentId="13_ncr:1_{69F8D594-3E5C-43B4-B11E-38052D05BEEC}" xr6:coauthVersionLast="46" xr6:coauthVersionMax="46" xr10:uidLastSave="{00000000-0000-0000-0000-000000000000}"/>
  <bookViews>
    <workbookView xWindow="-108" yWindow="-108" windowWidth="23256" windowHeight="12576" activeTab="1" xr2:uid="{0EEA1DA3-EF6F-4578-9BA1-B3DA3E58DBCE}"/>
  </bookViews>
  <sheets>
    <sheet name="README" sheetId="4" r:id="rId1"/>
    <sheet name="Skeleton" sheetId="1" r:id="rId2"/>
    <sheet name="Form" sheetId="2" r:id="rId3"/>
    <sheet name="Materials" sheetId="3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9" i="1" l="1"/>
  <c r="W27" i="1"/>
  <c r="W23" i="1" l="1"/>
  <c r="W21" i="1"/>
  <c r="W22" i="1" s="1"/>
  <c r="W28" i="1"/>
  <c r="K31" i="1"/>
  <c r="K36" i="1" s="1"/>
  <c r="Q28" i="1"/>
  <c r="Q30" i="1" s="1"/>
  <c r="E33" i="1"/>
  <c r="E38" i="1" s="1"/>
  <c r="Q42" i="1" l="1"/>
  <c r="Q48" i="1"/>
  <c r="K50" i="1"/>
  <c r="K56" i="1"/>
  <c r="E55" i="1"/>
  <c r="E39" i="1"/>
  <c r="E61" i="1"/>
  <c r="W24" i="1"/>
  <c r="W41" i="1" s="1"/>
  <c r="W25" i="1" l="1"/>
  <c r="W20" i="1" s="1"/>
  <c r="W33" i="1" s="1"/>
  <c r="E41" i="1"/>
  <c r="W30" i="1" l="1"/>
  <c r="W40" i="1"/>
  <c r="W26" i="1"/>
  <c r="W32" i="1"/>
  <c r="W31" i="1"/>
  <c r="W46" i="1" s="1"/>
  <c r="Q40" i="1"/>
  <c r="Q39" i="1"/>
  <c r="Q54" i="1" s="1"/>
  <c r="Q37" i="1"/>
  <c r="Q36" i="1"/>
  <c r="Q25" i="1"/>
  <c r="Q33" i="1" s="1"/>
  <c r="Q23" i="1"/>
  <c r="Q31" i="1" s="1"/>
  <c r="K37" i="1"/>
  <c r="K48" i="1"/>
  <c r="K47" i="1"/>
  <c r="K65" i="1" s="1"/>
  <c r="K45" i="1"/>
  <c r="K44" i="1"/>
  <c r="K32" i="1"/>
  <c r="K33" i="1" s="1"/>
  <c r="K59" i="1" s="1"/>
  <c r="K28" i="1"/>
  <c r="K41" i="1" s="1"/>
  <c r="K26" i="1"/>
  <c r="K27" i="1" s="1"/>
  <c r="E53" i="1"/>
  <c r="E52" i="1"/>
  <c r="E70" i="1" s="1"/>
  <c r="E50" i="1"/>
  <c r="E49" i="1"/>
  <c r="E40" i="1"/>
  <c r="E34" i="1"/>
  <c r="E35" i="1" s="1"/>
  <c r="E64" i="1" s="1"/>
  <c r="E30" i="1"/>
  <c r="E46" i="1" s="1"/>
  <c r="E28" i="1"/>
  <c r="E29" i="1" s="1"/>
  <c r="W36" i="1" l="1"/>
  <c r="W34" i="1"/>
  <c r="W39" i="1" s="1"/>
  <c r="W43" i="1"/>
  <c r="E42" i="1"/>
  <c r="W47" i="1"/>
  <c r="W45" i="1"/>
  <c r="Q32" i="1"/>
  <c r="Q34" i="1" s="1"/>
  <c r="Q35" i="1"/>
  <c r="Q41" i="1"/>
  <c r="Q24" i="1"/>
  <c r="Q26" i="1" s="1"/>
  <c r="E31" i="1"/>
  <c r="E37" i="1" s="1"/>
  <c r="E62" i="1" s="1"/>
  <c r="K29" i="1"/>
  <c r="K35" i="1" s="1"/>
  <c r="K57" i="1" s="1"/>
  <c r="K49" i="1"/>
  <c r="K39" i="1"/>
  <c r="K43" i="1" s="1"/>
  <c r="K30" i="1"/>
  <c r="K46" i="1" s="1"/>
  <c r="K64" i="1" s="1"/>
  <c r="E54" i="1"/>
  <c r="E44" i="1"/>
  <c r="E32" i="1"/>
  <c r="E51" i="1" s="1"/>
  <c r="E69" i="1" s="1"/>
  <c r="K66" i="1" l="1"/>
  <c r="E71" i="1"/>
  <c r="W37" i="1"/>
  <c r="Q47" i="1"/>
  <c r="K34" i="1"/>
  <c r="K58" i="1" s="1"/>
  <c r="Q29" i="1"/>
  <c r="Q49" i="1" s="1"/>
  <c r="Q27" i="1"/>
  <c r="Q51" i="1"/>
  <c r="E36" i="1"/>
  <c r="E63" i="1" s="1"/>
  <c r="K40" i="1"/>
  <c r="K38" i="1"/>
  <c r="K62" i="1" s="1"/>
  <c r="E45" i="1"/>
  <c r="E47" i="1" s="1"/>
  <c r="E60" i="1" s="1"/>
  <c r="E48" i="1"/>
  <c r="E43" i="1"/>
  <c r="E67" i="1" s="1"/>
  <c r="Q38" i="1" l="1"/>
  <c r="Q53" i="1" s="1"/>
  <c r="Q55" i="1"/>
  <c r="K42" i="1"/>
  <c r="K55" i="1" s="1"/>
  <c r="W38" i="1"/>
  <c r="W44" i="1" s="1"/>
  <c r="K53" i="1"/>
  <c r="K52" i="1"/>
  <c r="K61" i="1"/>
  <c r="E58" i="1"/>
  <c r="E57" i="1"/>
  <c r="E66" i="1"/>
  <c r="Q44" i="1" l="1"/>
  <c r="Q45" i="1"/>
  <c r="K54" i="1"/>
  <c r="K63" i="1" s="1"/>
  <c r="E59" i="1"/>
  <c r="E68" i="1" s="1"/>
  <c r="Q46" i="1" l="1"/>
  <c r="Q5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ALEJANDRO MARTIN CARDENAS</author>
  </authors>
  <commentList>
    <comment ref="A7" authorId="0" shapeId="0" xr:uid="{80B9FDD5-3765-470D-9E8A-9D54E3308DAE}">
      <text>
        <r>
          <rPr>
            <b/>
            <sz val="9"/>
            <color indexed="81"/>
            <rFont val="Tahoma"/>
            <family val="2"/>
          </rPr>
          <t>ALEJANDRO MARTIN CARDENAS:</t>
        </r>
        <r>
          <rPr>
            <sz val="9"/>
            <color indexed="81"/>
            <rFont val="Tahoma"/>
            <family val="2"/>
          </rPr>
          <t xml:space="preserve">
Can be adjusted in the Skeleton spreadsheet for the Objet process</t>
        </r>
      </text>
    </comment>
  </commentList>
</comments>
</file>

<file path=xl/sharedStrings.xml><?xml version="1.0" encoding="utf-8"?>
<sst xmlns="http://schemas.openxmlformats.org/spreadsheetml/2006/main" count="648" uniqueCount="247">
  <si>
    <t>Input Variable</t>
  </si>
  <si>
    <t>Category</t>
  </si>
  <si>
    <t>Part Dimensions</t>
  </si>
  <si>
    <t>V</t>
  </si>
  <si>
    <t>Batch Size</t>
  </si>
  <si>
    <t>N</t>
  </si>
  <si>
    <t>Build Efficiency</t>
  </si>
  <si>
    <t>Input Value</t>
  </si>
  <si>
    <t>Consumption Costs</t>
  </si>
  <si>
    <t>FC</t>
  </si>
  <si>
    <t>BPC</t>
  </si>
  <si>
    <t>Material Cost</t>
  </si>
  <si>
    <t>Operator</t>
  </si>
  <si>
    <t>D</t>
  </si>
  <si>
    <t>M</t>
  </si>
  <si>
    <t>OW</t>
  </si>
  <si>
    <t>PPT</t>
  </si>
  <si>
    <t>Machine Type</t>
  </si>
  <si>
    <t>FAMC</t>
  </si>
  <si>
    <t>MD</t>
  </si>
  <si>
    <t>XYBA</t>
  </si>
  <si>
    <t>MUHPY</t>
  </si>
  <si>
    <t>Dependent Value</t>
  </si>
  <si>
    <t>Fixed Annual Maintenance Cost [$]</t>
  </si>
  <si>
    <t>Machine Depreciation Per Year [$]</t>
  </si>
  <si>
    <t>Build Volume Of All Parts [m^3]</t>
  </si>
  <si>
    <t>Material Density [kg/m^3]</t>
  </si>
  <si>
    <t>Build Volume [m^3]</t>
  </si>
  <si>
    <t>Machine Cost Per Hour [$]</t>
  </si>
  <si>
    <t>Operator Cost Per Hour [$]</t>
  </si>
  <si>
    <t>Machine Cost Per Build [$]</t>
  </si>
  <si>
    <t>Reusable Material [kg]</t>
  </si>
  <si>
    <t>PHA</t>
  </si>
  <si>
    <t>Pre-Processing Labor Cost Per Build [$]</t>
  </si>
  <si>
    <t>Post-Processing Labor Cost Per Build [$]</t>
  </si>
  <si>
    <t>PPTB</t>
  </si>
  <si>
    <t>Cost Distribution Per Part</t>
  </si>
  <si>
    <t>Material Cost [$]</t>
  </si>
  <si>
    <t>Cost of Failure[$]</t>
  </si>
  <si>
    <t>Pre-Processing Labor Cost [$]</t>
  </si>
  <si>
    <t>Post-Processing Labor Cost [$]</t>
  </si>
  <si>
    <t>Machine Cost [$]</t>
  </si>
  <si>
    <t>Initial Variables</t>
  </si>
  <si>
    <t>DMLS</t>
  </si>
  <si>
    <t>SLS</t>
  </si>
  <si>
    <t>SLA</t>
  </si>
  <si>
    <t>OBJET</t>
  </si>
  <si>
    <t>Height Of The Build [m]</t>
  </si>
  <si>
    <t>HOTB</t>
  </si>
  <si>
    <t>Part(i) Height (without supports) [m]</t>
  </si>
  <si>
    <t>Part(i) Volume (without supports) [m^3]</t>
  </si>
  <si>
    <t>Percentage of Support Material [%]</t>
  </si>
  <si>
    <t>POSM</t>
  </si>
  <si>
    <t>Mass Of Part(i) Material [kg] (FOR OBJET)</t>
  </si>
  <si>
    <t>MOPM</t>
  </si>
  <si>
    <t>MOSM</t>
  </si>
  <si>
    <t>Part(i) Surface Area [m^2]</t>
  </si>
  <si>
    <t>SA</t>
  </si>
  <si>
    <t>Number of Parts(i)</t>
  </si>
  <si>
    <t>Unrelated Parts Volume (without supports) [m^3]</t>
  </si>
  <si>
    <t>VOBUP</t>
  </si>
  <si>
    <t>Total Build Time For Part(i) (FOR OBJET) [hr]</t>
  </si>
  <si>
    <t>Total Build Time For All Parts [hr]</t>
  </si>
  <si>
    <t xml:space="preserve">TBTFAP </t>
  </si>
  <si>
    <t>Build Platform Cost (FOR DMLS) [$] ($300 Stainless Steel &amp; $1400 for Ti64)</t>
  </si>
  <si>
    <t>Gases Cost Per Build (FOR SLS) [$]</t>
  </si>
  <si>
    <t>GC</t>
  </si>
  <si>
    <t>Total Filters Cost Per Year [$]</t>
  </si>
  <si>
    <t>Build Failure</t>
  </si>
  <si>
    <t>Probability Of Part(i) Failure [%]</t>
  </si>
  <si>
    <r>
      <t>P</t>
    </r>
    <r>
      <rPr>
        <b/>
        <sz val="8"/>
        <color theme="1"/>
        <rFont val="Calibri"/>
        <family val="2"/>
        <scheme val="minor"/>
      </rPr>
      <t>f</t>
    </r>
  </si>
  <si>
    <t>Cost of Virgin Material Per Kg [$]</t>
  </si>
  <si>
    <t>MS</t>
  </si>
  <si>
    <t>MSAUT</t>
  </si>
  <si>
    <t>MSUT</t>
  </si>
  <si>
    <t>Post-Processing Time Per Part(i) [hrs]</t>
  </si>
  <si>
    <t>XY-Axis Build Area [m^2]</t>
  </si>
  <si>
    <t>Intermediate Variables</t>
  </si>
  <si>
    <t>Dependent Variable</t>
  </si>
  <si>
    <t>Part(i) Volume (with supports) [m^3]</t>
  </si>
  <si>
    <r>
      <rPr>
        <b/>
        <sz val="11"/>
        <color theme="1"/>
        <rFont val="Calibri"/>
        <family val="2"/>
        <scheme val="minor"/>
      </rPr>
      <t xml:space="preserve">VWS </t>
    </r>
    <r>
      <rPr>
        <sz val="11"/>
        <color theme="1"/>
        <rFont val="Calibri"/>
        <family val="2"/>
        <scheme val="minor"/>
      </rPr>
      <t>= V * (1 + (POSM / 100))</t>
    </r>
  </si>
  <si>
    <t>Total Volume For Parts(i) [m^3]</t>
  </si>
  <si>
    <r>
      <rPr>
        <b/>
        <sz val="11"/>
        <color theme="1"/>
        <rFont val="Calibri"/>
        <family val="2"/>
        <scheme val="minor"/>
      </rPr>
      <t>TVFDP</t>
    </r>
    <r>
      <rPr>
        <sz val="11"/>
        <color theme="1"/>
        <rFont val="Calibri"/>
        <family val="2"/>
        <scheme val="minor"/>
      </rPr>
      <t xml:space="preserve"> = VWS * N</t>
    </r>
  </si>
  <si>
    <t>Unrelated Parts Volume (with supports) [m^3]</t>
  </si>
  <si>
    <r>
      <rPr>
        <b/>
        <sz val="11"/>
        <color theme="1"/>
        <rFont val="Calibri"/>
        <family val="2"/>
        <scheme val="minor"/>
      </rPr>
      <t>VOBUPWS</t>
    </r>
    <r>
      <rPr>
        <sz val="11"/>
        <color theme="1"/>
        <rFont val="Calibri"/>
        <family val="2"/>
        <scheme val="minor"/>
      </rPr>
      <t xml:space="preserve"> = VOBUP * (1 + (POSM / 100))</t>
    </r>
  </si>
  <si>
    <r>
      <rPr>
        <b/>
        <sz val="11"/>
        <color theme="1"/>
        <rFont val="Calibri"/>
        <family val="2"/>
        <scheme val="minor"/>
      </rPr>
      <t xml:space="preserve">BVOAP </t>
    </r>
    <r>
      <rPr>
        <sz val="11"/>
        <color theme="1"/>
        <rFont val="Calibri"/>
        <family val="2"/>
        <scheme val="minor"/>
      </rPr>
      <t>= TVFDP + VOPUPWS</t>
    </r>
  </si>
  <si>
    <t>Unrelated Parts Space Fraction</t>
  </si>
  <si>
    <r>
      <rPr>
        <b/>
        <sz val="11"/>
        <color theme="1"/>
        <rFont val="Calibri"/>
        <family val="2"/>
        <scheme val="minor"/>
      </rPr>
      <t>UPUSF</t>
    </r>
    <r>
      <rPr>
        <sz val="11"/>
        <color theme="1"/>
        <rFont val="Calibri"/>
        <family val="2"/>
        <scheme val="minor"/>
      </rPr>
      <t xml:space="preserve"> = VOBUPWS / (BVOAP)</t>
    </r>
  </si>
  <si>
    <t xml:space="preserve"> </t>
  </si>
  <si>
    <r>
      <rPr>
        <b/>
        <sz val="11"/>
        <color theme="1"/>
        <rFont val="Calibri"/>
        <family val="2"/>
        <scheme val="minor"/>
      </rPr>
      <t>BV</t>
    </r>
    <r>
      <rPr>
        <sz val="11"/>
        <color theme="1"/>
        <rFont val="Calibri"/>
        <family val="2"/>
        <scheme val="minor"/>
      </rPr>
      <t xml:space="preserve"> = XYBA * HOTB</t>
    </r>
  </si>
  <si>
    <t>Batch Material (DMLS AND SLS) [kg]</t>
  </si>
  <si>
    <r>
      <rPr>
        <b/>
        <sz val="11"/>
        <color theme="1"/>
        <rFont val="Calibri"/>
        <family val="2"/>
        <scheme val="minor"/>
      </rPr>
      <t>BM</t>
    </r>
    <r>
      <rPr>
        <sz val="11"/>
        <color theme="1"/>
        <rFont val="Calibri"/>
        <family val="2"/>
        <scheme val="minor"/>
      </rPr>
      <t xml:space="preserve"> = D * BV</t>
    </r>
  </si>
  <si>
    <t>Total Build Mass Of All Parts [kg]</t>
  </si>
  <si>
    <r>
      <rPr>
        <b/>
        <sz val="11"/>
        <color theme="1"/>
        <rFont val="Calibri"/>
        <family val="2"/>
        <scheme val="minor"/>
      </rPr>
      <t>TBMOAP</t>
    </r>
    <r>
      <rPr>
        <sz val="11"/>
        <color theme="1"/>
        <rFont val="Calibri"/>
        <family val="2"/>
        <scheme val="minor"/>
      </rPr>
      <t xml:space="preserve"> = BVOAP * D</t>
    </r>
  </si>
  <si>
    <r>
      <rPr>
        <b/>
        <sz val="11"/>
        <color theme="1"/>
        <rFont val="Calibri"/>
        <family val="2"/>
        <scheme val="minor"/>
      </rPr>
      <t xml:space="preserve">RMV </t>
    </r>
    <r>
      <rPr>
        <sz val="11"/>
        <color theme="1"/>
        <rFont val="Calibri"/>
        <family val="2"/>
        <scheme val="minor"/>
      </rPr>
      <t>= BV - BVOAP</t>
    </r>
  </si>
  <si>
    <t>Gases Cost Per Build (FOR DMLS) [$]</t>
  </si>
  <si>
    <t>Build Platform Cost Per Build (FOR DMLS) [$]</t>
  </si>
  <si>
    <r>
      <t>BPCPB</t>
    </r>
    <r>
      <rPr>
        <sz val="11"/>
        <color theme="1"/>
        <rFont val="Calibri"/>
        <family val="2"/>
        <scheme val="minor"/>
      </rPr>
      <t xml:space="preserve"> = BPC / 7</t>
    </r>
  </si>
  <si>
    <t>Filter Cost Per Build [$] (FOR DMLS)</t>
  </si>
  <si>
    <t>Consumables Cost Per Build [$]</t>
  </si>
  <si>
    <t xml:space="preserve">   </t>
  </si>
  <si>
    <t>Consumables Cost Per Part(i) [$]</t>
  </si>
  <si>
    <r>
      <rPr>
        <b/>
        <sz val="11"/>
        <color theme="1"/>
        <rFont val="Calibri"/>
        <family val="2"/>
        <scheme val="minor"/>
      </rPr>
      <t>CCPP</t>
    </r>
    <r>
      <rPr>
        <sz val="11"/>
        <color theme="1"/>
        <rFont val="Calibri"/>
        <family val="2"/>
        <scheme val="minor"/>
      </rPr>
      <t xml:space="preserve"> = (CCPB - (CCPB * UPUSF)) / N</t>
    </r>
  </si>
  <si>
    <t>Mass Of Material Per Part(i) [kg]</t>
  </si>
  <si>
    <r>
      <rPr>
        <b/>
        <sz val="11"/>
        <color theme="1"/>
        <rFont val="Calibri"/>
        <family val="2"/>
        <scheme val="minor"/>
      </rPr>
      <t>MOMPP</t>
    </r>
    <r>
      <rPr>
        <sz val="11"/>
        <color theme="1"/>
        <rFont val="Calibri"/>
        <family val="2"/>
        <scheme val="minor"/>
      </rPr>
      <t xml:space="preserve"> = D * VWS</t>
    </r>
  </si>
  <si>
    <t>Total Mass Of Material For Part(i) [kg]</t>
  </si>
  <si>
    <r>
      <rPr>
        <b/>
        <sz val="11"/>
        <color theme="1"/>
        <rFont val="Calibri"/>
        <family val="2"/>
        <scheme val="minor"/>
      </rPr>
      <t>TMOMFP</t>
    </r>
    <r>
      <rPr>
        <sz val="11"/>
        <color theme="1"/>
        <rFont val="Calibri"/>
        <family val="2"/>
        <scheme val="minor"/>
      </rPr>
      <t xml:space="preserve"> = MOMPP * N</t>
    </r>
  </si>
  <si>
    <t>Total Mass Of Material For Unrelated Parts [kg]</t>
  </si>
  <si>
    <r>
      <rPr>
        <b/>
        <sz val="11"/>
        <color theme="1"/>
        <rFont val="Calibri"/>
        <family val="2"/>
        <scheme val="minor"/>
      </rPr>
      <t xml:space="preserve">TMOMFUP </t>
    </r>
    <r>
      <rPr>
        <sz val="11"/>
        <color theme="1"/>
        <rFont val="Calibri"/>
        <family val="2"/>
        <scheme val="minor"/>
      </rPr>
      <t>= VOBUPWS * D</t>
    </r>
  </si>
  <si>
    <t>Total Material Cost Per Build [$]</t>
  </si>
  <si>
    <t>Total Material Cost Per Part(i) [$]</t>
  </si>
  <si>
    <r>
      <rPr>
        <b/>
        <sz val="11"/>
        <color theme="1"/>
        <rFont val="Calibri"/>
        <family val="2"/>
        <scheme val="minor"/>
      </rPr>
      <t>TMCPP</t>
    </r>
    <r>
      <rPr>
        <sz val="11"/>
        <color theme="1"/>
        <rFont val="Calibri"/>
        <family val="2"/>
        <scheme val="minor"/>
      </rPr>
      <t xml:space="preserve"> = MOMPP * M</t>
    </r>
  </si>
  <si>
    <t>Total Material Cost Per Part(i) [$] (FOR OBJET)</t>
  </si>
  <si>
    <t>Pre-Processing Labor Cost Per Part(i) [$]</t>
  </si>
  <si>
    <r>
      <rPr>
        <b/>
        <sz val="11"/>
        <color theme="1"/>
        <rFont val="Calibri"/>
        <family val="2"/>
        <scheme val="minor"/>
      </rPr>
      <t xml:space="preserve">PrePLCPP </t>
    </r>
    <r>
      <rPr>
        <sz val="11"/>
        <color theme="1"/>
        <rFont val="Calibri"/>
        <family val="2"/>
        <scheme val="minor"/>
      </rPr>
      <t>= OW * (((MSAUT + MSUT) - ((MSAUT + MSUT) * UPUSF)) / N)</t>
    </r>
  </si>
  <si>
    <t>Post-Processing Labor Cost Per Part(i) [$]</t>
  </si>
  <si>
    <r>
      <rPr>
        <b/>
        <sz val="11"/>
        <color theme="1"/>
        <rFont val="Calibri"/>
        <family val="2"/>
        <scheme val="minor"/>
      </rPr>
      <t>PostPLCPP</t>
    </r>
    <r>
      <rPr>
        <sz val="11"/>
        <color theme="1"/>
        <rFont val="Calibri"/>
        <family val="2"/>
        <scheme val="minor"/>
      </rPr>
      <t xml:space="preserve"> = OW * PPT</t>
    </r>
  </si>
  <si>
    <r>
      <rPr>
        <b/>
        <sz val="11"/>
        <color theme="1"/>
        <rFont val="Calibri"/>
        <family val="2"/>
        <scheme val="minor"/>
      </rPr>
      <t>MCPH</t>
    </r>
    <r>
      <rPr>
        <sz val="11"/>
        <color theme="1"/>
        <rFont val="Calibri"/>
        <family val="2"/>
        <scheme val="minor"/>
      </rPr>
      <t xml:space="preserve"> = (MD + FAMC) / MUHPY</t>
    </r>
  </si>
  <si>
    <t>Machine Cost Per Part(i) [$]</t>
  </si>
  <si>
    <t>Final Variables</t>
  </si>
  <si>
    <t>Output Variable</t>
  </si>
  <si>
    <t>Output Value</t>
  </si>
  <si>
    <t>Outputs</t>
  </si>
  <si>
    <t>Total Cost Per Part(i) (with failure) [$]</t>
  </si>
  <si>
    <t>TCPPWF = (TMCPP + PrePLCPP + PostPLCPP + MCPP + CCPP) * (1 + (Pf / 100))</t>
  </si>
  <si>
    <t>Total Cost Per Part(i) (without failure) [$]</t>
  </si>
  <si>
    <t>TCPP = TMCPP + PrePLCPP + PostPLCPP + MCPP + CCPP</t>
  </si>
  <si>
    <t>Total Cost of Failure Per Part(i) [$]</t>
  </si>
  <si>
    <t>TCOFPP = TCPPWF  - TCPP</t>
  </si>
  <si>
    <t>Total Build Cost Without Failure [$]</t>
  </si>
  <si>
    <t>BC = CCPB + TMCPB + PrePLCPB + PostPLCPB + MCPB</t>
  </si>
  <si>
    <t>Total Build Time For Part(i) [hr]</t>
  </si>
  <si>
    <t>RMM = RMV * D</t>
  </si>
  <si>
    <t>TBMOAP</t>
  </si>
  <si>
    <t>Total Batch Material [kg]</t>
  </si>
  <si>
    <t>BM</t>
  </si>
  <si>
    <t>Variable</t>
  </si>
  <si>
    <t>Cost Value</t>
  </si>
  <si>
    <t>TMCPP</t>
  </si>
  <si>
    <t>Consumption Cost [$]</t>
  </si>
  <si>
    <t>CCPP</t>
  </si>
  <si>
    <t>CFPP</t>
  </si>
  <si>
    <t>PrePLCPP</t>
  </si>
  <si>
    <t>PostPLCPP</t>
  </si>
  <si>
    <t>Mass Of Part(i) Support Material for Part(i) [kg] (FOR OBJET)</t>
  </si>
  <si>
    <t>Reusable Material Volume (DMLS AND SLS) [m^3]</t>
  </si>
  <si>
    <t>Material</t>
  </si>
  <si>
    <t>Price ($)</t>
  </si>
  <si>
    <t>Density (kg/m^3)</t>
  </si>
  <si>
    <t>Process</t>
  </si>
  <si>
    <t>Nylon 12, $50/kg</t>
  </si>
  <si>
    <t>Objet Part Material, $200/kg</t>
  </si>
  <si>
    <t>Date</t>
  </si>
  <si>
    <t>Time</t>
  </si>
  <si>
    <t>Machine</t>
  </si>
  <si>
    <t>Part(i) Volume Without Supports [m^3]</t>
  </si>
  <si>
    <t>Probability of Part(i) Failure [%]</t>
  </si>
  <si>
    <t>Material Set-Up &amp; Unloading Time Per Batch [hrs]</t>
  </si>
  <si>
    <t>Machine Set-Up Time [hrs]</t>
  </si>
  <si>
    <t>Post-Processing Time Per Part(i)</t>
  </si>
  <si>
    <t>Part(i) Material</t>
  </si>
  <si>
    <t>Price of Material Per Kg [$]</t>
  </si>
  <si>
    <t>Height of the Build (DMLS &amp; SLS) [m]</t>
  </si>
  <si>
    <t>Part(i) Height Without Support [m]</t>
  </si>
  <si>
    <t>Operator Wage [$]</t>
  </si>
  <si>
    <t>Unrelated Parts Volume Without Supports [m^3]</t>
  </si>
  <si>
    <t>Mass of Part (i) Material [kg] (OBJET)</t>
  </si>
  <si>
    <t>Mass of Part(i) Support Material [kg] (OBJET)</t>
  </si>
  <si>
    <t>Total Buil Time For Part(i) [hrs] (OBJET)</t>
  </si>
  <si>
    <t>Total Build Time For The Build [hrs]</t>
  </si>
  <si>
    <t>Post-Processing Time For the Build [hrs]</t>
  </si>
  <si>
    <t>Cost Per Part(i) Without Failure [$]</t>
  </si>
  <si>
    <t>Cost Per Part(i) With Failure [$]</t>
  </si>
  <si>
    <t>Cost of Failure Per Part(i) [$]</t>
  </si>
  <si>
    <t>Estimated Build Time For Part(i) [hrs]</t>
  </si>
  <si>
    <t>Total Build Mass of All Parts [kg]</t>
  </si>
  <si>
    <t>Total Batch Material (DMLS and SLS) [kg]</t>
  </si>
  <si>
    <t>Reusable Material (DMLS and SLS) [kg]</t>
  </si>
  <si>
    <t>*Total Build Cost Without Failure* [$]</t>
  </si>
  <si>
    <t>Cost of Support Material Per Kg [$]</t>
  </si>
  <si>
    <r>
      <rPr>
        <b/>
        <sz val="11"/>
        <color theme="1"/>
        <rFont val="Calibri"/>
        <family val="2"/>
        <scheme val="minor"/>
      </rPr>
      <t>TMCPP</t>
    </r>
    <r>
      <rPr>
        <sz val="11"/>
        <color theme="1"/>
        <rFont val="Calibri"/>
        <family val="2"/>
        <scheme val="minor"/>
      </rPr>
      <t xml:space="preserve"> = MOMPP * (M / 2)</t>
    </r>
  </si>
  <si>
    <t>Layer Thickness [m]</t>
  </si>
  <si>
    <t>SLA Resin, $242/kg</t>
  </si>
  <si>
    <t>LT</t>
  </si>
  <si>
    <t>RT</t>
  </si>
  <si>
    <t xml:space="preserve">Objet Support Material, $60/kg </t>
  </si>
  <si>
    <t>Material Set-up And Unloading Time per Batch [hr]</t>
  </si>
  <si>
    <t>Machine Set-up Time (selecting files, adding supports, selecting process, and software set-up) [hr]</t>
  </si>
  <si>
    <t>Post-Processing Time Per Part(i) [hr]</t>
  </si>
  <si>
    <t>Post-Processing Time Per Build For All Parts [hr]</t>
  </si>
  <si>
    <t>Machine Use Hours Per Year [hr/year]</t>
  </si>
  <si>
    <t>Number Of Jobs Per Year</t>
  </si>
  <si>
    <t>NOJPY</t>
  </si>
  <si>
    <r>
      <rPr>
        <b/>
        <sz val="11"/>
        <color theme="1"/>
        <rFont val="Calibri"/>
        <family val="2"/>
        <scheme val="minor"/>
      </rPr>
      <t>FCPB</t>
    </r>
    <r>
      <rPr>
        <sz val="11"/>
        <color theme="1"/>
        <rFont val="Calibri"/>
        <family val="2"/>
        <scheme val="minor"/>
      </rPr>
      <t xml:space="preserve"> = FC / NOJPY</t>
    </r>
  </si>
  <si>
    <t>Recoat Time [hrs]</t>
  </si>
  <si>
    <t>316 Stainless Steel, $100/kg</t>
  </si>
  <si>
    <t>Ti64, $400/kg</t>
  </si>
  <si>
    <r>
      <rPr>
        <b/>
        <sz val="11"/>
        <color theme="1"/>
        <rFont val="Calibri"/>
        <family val="2"/>
        <scheme val="minor"/>
      </rPr>
      <t xml:space="preserve">AC </t>
    </r>
    <r>
      <rPr>
        <sz val="11"/>
        <color theme="1"/>
        <rFont val="Calibri"/>
        <family val="2"/>
        <scheme val="minor"/>
      </rPr>
      <t>= V / PHA</t>
    </r>
  </si>
  <si>
    <r>
      <rPr>
        <b/>
        <sz val="11"/>
        <color theme="1"/>
        <rFont val="Calibri"/>
        <family val="2"/>
        <scheme val="minor"/>
      </rPr>
      <t>AC</t>
    </r>
    <r>
      <rPr>
        <sz val="11"/>
        <color theme="1"/>
        <rFont val="Calibri"/>
        <family val="2"/>
        <scheme val="minor"/>
      </rPr>
      <t xml:space="preserve"> = V / PHA</t>
    </r>
  </si>
  <si>
    <r>
      <rPr>
        <b/>
        <sz val="11"/>
        <color theme="1"/>
        <rFont val="Calibri"/>
        <family val="2"/>
        <scheme val="minor"/>
      </rPr>
      <t xml:space="preserve">AC = </t>
    </r>
    <r>
      <rPr>
        <sz val="11"/>
        <color theme="1"/>
        <rFont val="Calibri"/>
        <family val="2"/>
        <scheme val="minor"/>
      </rPr>
      <t>V / PHA</t>
    </r>
  </si>
  <si>
    <r>
      <rPr>
        <b/>
        <sz val="11"/>
        <color theme="1"/>
        <rFont val="Calibri"/>
        <family val="2"/>
        <scheme val="minor"/>
      </rPr>
      <t>TBTFP</t>
    </r>
    <r>
      <rPr>
        <sz val="11"/>
        <color theme="1"/>
        <rFont val="Calibri"/>
        <family val="2"/>
        <scheme val="minor"/>
      </rPr>
      <t xml:space="preserve"> = ((( 1931.99716 * AC) + ( 37.06242591 * SA) - (0.032103838)) * N) + ((RT * (PHA / LT))/3600)</t>
    </r>
  </si>
  <si>
    <t>Recoat Time [s]</t>
  </si>
  <si>
    <t>Average Cross-Sectional Area [m^2]</t>
  </si>
  <si>
    <t>Average Cross-Sectional Area</t>
  </si>
  <si>
    <t>MOBPM</t>
  </si>
  <si>
    <t>BC = TMCPB + PrePLCPB + PostPLCPB + MCPB</t>
  </si>
  <si>
    <t>MOUPM</t>
  </si>
  <si>
    <t>MOUSM</t>
  </si>
  <si>
    <t>Mass Of Unrelated Parts Part Material (kg) (FOR OBJET)</t>
  </si>
  <si>
    <t>Mass Of Unrelated Parts Support Material (kg) (FOR OBJET)</t>
  </si>
  <si>
    <r>
      <t xml:space="preserve">MWS = </t>
    </r>
    <r>
      <rPr>
        <sz val="11"/>
        <color theme="1"/>
        <rFont val="Calibri"/>
        <family val="2"/>
        <scheme val="minor"/>
      </rPr>
      <t>MOPM + MOSM</t>
    </r>
  </si>
  <si>
    <r>
      <t>TMFDP =</t>
    </r>
    <r>
      <rPr>
        <sz val="11"/>
        <color theme="1"/>
        <rFont val="Calibri"/>
        <family val="2"/>
        <scheme val="minor"/>
      </rPr>
      <t xml:space="preserve"> MWS * N</t>
    </r>
  </si>
  <si>
    <r>
      <t xml:space="preserve">MOBUPWS = </t>
    </r>
    <r>
      <rPr>
        <sz val="11"/>
        <color theme="1"/>
        <rFont val="Calibri"/>
        <family val="2"/>
        <scheme val="minor"/>
      </rPr>
      <t>MOUPM + MOUSM</t>
    </r>
  </si>
  <si>
    <r>
      <t xml:space="preserve">BMOAP = </t>
    </r>
    <r>
      <rPr>
        <sz val="11"/>
        <color theme="1"/>
        <rFont val="Calibri"/>
        <family val="2"/>
        <scheme val="minor"/>
      </rPr>
      <t>TMFDP + MOBUPWS</t>
    </r>
  </si>
  <si>
    <r>
      <t xml:space="preserve">UPUMF = </t>
    </r>
    <r>
      <rPr>
        <sz val="11"/>
        <color theme="1"/>
        <rFont val="Calibri"/>
        <family val="2"/>
        <scheme val="minor"/>
      </rPr>
      <t>MOBUPWS / BMOAP</t>
    </r>
  </si>
  <si>
    <r>
      <rPr>
        <b/>
        <sz val="11"/>
        <color theme="1"/>
        <rFont val="Calibri"/>
        <family val="2"/>
        <scheme val="minor"/>
      </rPr>
      <t xml:space="preserve">PrePLCPP </t>
    </r>
    <r>
      <rPr>
        <sz val="11"/>
        <color theme="1"/>
        <rFont val="Calibri"/>
        <family val="2"/>
        <scheme val="minor"/>
      </rPr>
      <t>= OW * (((MSAUT + MSUT) - ((MSAUT + MSUT) * UPUMF)) / N)</t>
    </r>
  </si>
  <si>
    <t>Mass Of Unrelated Parts Part Material [kg] (FOR OBJET)</t>
  </si>
  <si>
    <t>Mass Of Unrelated Parts Support Material [kg] (FOR OBJET)</t>
  </si>
  <si>
    <t>Total Material Per Part(i) (with supports) [kg]</t>
  </si>
  <si>
    <t>Total Unrelated Parts Mass [kg] (with supports)</t>
  </si>
  <si>
    <t>Build Mass of All Parts [kg]</t>
  </si>
  <si>
    <t>Total Material Cost Per Build [$] (FOR OBJET)</t>
  </si>
  <si>
    <r>
      <rPr>
        <b/>
        <sz val="11"/>
        <color theme="1"/>
        <rFont val="Calibri"/>
        <family val="2"/>
        <scheme val="minor"/>
      </rPr>
      <t>TMCPPO</t>
    </r>
    <r>
      <rPr>
        <sz val="11"/>
        <color theme="1"/>
        <rFont val="Calibri"/>
        <family val="2"/>
        <scheme val="minor"/>
      </rPr>
      <t xml:space="preserve"> = (MOPM * M) + (MOSM * MS)</t>
    </r>
  </si>
  <si>
    <t>Total Mass for All Parts(i) [kg]</t>
  </si>
  <si>
    <t>Unrelated Parts Mass Fraction</t>
  </si>
  <si>
    <t>AM Machine Processes</t>
  </si>
  <si>
    <r>
      <rPr>
        <b/>
        <sz val="11"/>
        <color theme="1"/>
        <rFont val="Calibri"/>
        <family val="2"/>
        <scheme val="minor"/>
      </rPr>
      <t>TBTFP</t>
    </r>
    <r>
      <rPr>
        <sz val="11"/>
        <color theme="1"/>
        <rFont val="Calibri"/>
        <family val="2"/>
        <scheme val="minor"/>
      </rPr>
      <t xml:space="preserve"> = ((( -34.11082425 * AC) + ( 40.39138632 * SA) - (0.00693486)) * N) + ((RT * (PHA / LT))/3600) + 0.3</t>
    </r>
  </si>
  <si>
    <r>
      <rPr>
        <b/>
        <sz val="11"/>
        <color theme="1"/>
        <rFont val="Calibri"/>
        <family val="2"/>
        <scheme val="minor"/>
      </rPr>
      <t>TBTFP</t>
    </r>
    <r>
      <rPr>
        <sz val="11"/>
        <color theme="1"/>
        <rFont val="Calibri"/>
        <family val="2"/>
        <scheme val="minor"/>
      </rPr>
      <t xml:space="preserve"> = ((( -7.189909087 * AC) + ( 4.792124279 * SA) + (0.004325198)) * N) + ((RT * (PHA / LT))/3600) + 1.8</t>
    </r>
  </si>
  <si>
    <r>
      <rPr>
        <b/>
        <sz val="11"/>
        <color theme="1"/>
        <rFont val="Calibri"/>
        <family val="2"/>
        <scheme val="minor"/>
      </rPr>
      <t>MCPP</t>
    </r>
    <r>
      <rPr>
        <sz val="11"/>
        <color theme="1"/>
        <rFont val="Calibri"/>
        <family val="2"/>
        <scheme val="minor"/>
      </rPr>
      <t xml:space="preserve"> = (MCPH * TBTFP) / N</t>
    </r>
  </si>
  <si>
    <t>Total Build Time For Desired Parts(i) (SLS) [hr]</t>
  </si>
  <si>
    <r>
      <t>TBTFPO = (</t>
    </r>
    <r>
      <rPr>
        <sz val="11"/>
        <color theme="1"/>
        <rFont val="Calibri"/>
        <family val="2"/>
        <scheme val="minor"/>
      </rPr>
      <t>TBTFAP * (1 - UPUMF)) / N</t>
    </r>
  </si>
  <si>
    <t>TBTFDP = TBTFP / N</t>
  </si>
  <si>
    <t xml:space="preserve">TBTFPO </t>
  </si>
  <si>
    <t>Total Build Time For Desired Parts(i) (DMLS) [hr]</t>
  </si>
  <si>
    <r>
      <rPr>
        <b/>
        <sz val="11"/>
        <color theme="1"/>
        <rFont val="Calibri"/>
        <family val="2"/>
        <scheme val="minor"/>
      </rPr>
      <t>GC</t>
    </r>
    <r>
      <rPr>
        <sz val="11"/>
        <color theme="1"/>
        <rFont val="Calibri"/>
        <family val="2"/>
        <scheme val="minor"/>
      </rPr>
      <t xml:space="preserve"> = (3 + 0.6 * TBTFP ) * 3.03</t>
    </r>
  </si>
  <si>
    <r>
      <rPr>
        <b/>
        <sz val="11"/>
        <color theme="1"/>
        <rFont val="Calibri"/>
        <family val="2"/>
        <scheme val="minor"/>
      </rPr>
      <t>MCPPO =</t>
    </r>
    <r>
      <rPr>
        <sz val="11"/>
        <color theme="1"/>
        <rFont val="Calibri"/>
        <family val="2"/>
        <scheme val="minor"/>
      </rPr>
      <t xml:space="preserve"> (MCPH * TBTFP)</t>
    </r>
  </si>
  <si>
    <t>TCPPWF = (TMCPP + PrePLCPP + PostPLCPP + MCPPO + CCPP) * (1 + (Pf / 100))</t>
  </si>
  <si>
    <t>MPCPPO</t>
  </si>
  <si>
    <t>MPCPP</t>
  </si>
  <si>
    <r>
      <rPr>
        <b/>
        <sz val="11"/>
        <color rgb="FFFF0000"/>
        <rFont val="Calibri"/>
        <family val="2"/>
        <scheme val="minor"/>
      </rPr>
      <t xml:space="preserve">CCPB </t>
    </r>
    <r>
      <rPr>
        <sz val="11"/>
        <color rgb="FFFF0000"/>
        <rFont val="Calibri"/>
        <family val="2"/>
        <scheme val="minor"/>
      </rPr>
      <t>= GC + FCPB + BPCPB</t>
    </r>
  </si>
  <si>
    <r>
      <rPr>
        <b/>
        <sz val="11"/>
        <color rgb="FFFF0000"/>
        <rFont val="Calibri"/>
        <family val="2"/>
        <scheme val="minor"/>
      </rPr>
      <t xml:space="preserve">TMCPB </t>
    </r>
    <r>
      <rPr>
        <sz val="11"/>
        <color rgb="FFFF0000"/>
        <rFont val="Calibri"/>
        <family val="2"/>
        <scheme val="minor"/>
      </rPr>
      <t>= M * (TMOMFP + TMOMFUP)</t>
    </r>
  </si>
  <si>
    <r>
      <rPr>
        <b/>
        <sz val="11"/>
        <color rgb="FFFF0000"/>
        <rFont val="Calibri"/>
        <family val="2"/>
        <scheme val="minor"/>
      </rPr>
      <t>PrePLCPB</t>
    </r>
    <r>
      <rPr>
        <sz val="11"/>
        <color rgb="FFFF0000"/>
        <rFont val="Calibri"/>
        <family val="2"/>
        <scheme val="minor"/>
      </rPr>
      <t xml:space="preserve"> = (MSAUT + MSUT) * OW</t>
    </r>
  </si>
  <si>
    <r>
      <rPr>
        <b/>
        <sz val="11"/>
        <color rgb="FFFF0000"/>
        <rFont val="Calibri"/>
        <family val="2"/>
        <scheme val="minor"/>
      </rPr>
      <t>PostPLCPB</t>
    </r>
    <r>
      <rPr>
        <sz val="11"/>
        <color rgb="FFFF0000"/>
        <rFont val="Calibri"/>
        <family val="2"/>
        <scheme val="minor"/>
      </rPr>
      <t xml:space="preserve"> = PPTB * OW</t>
    </r>
  </si>
  <si>
    <r>
      <rPr>
        <b/>
        <sz val="11"/>
        <color rgb="FFFF0000"/>
        <rFont val="Calibri"/>
        <family val="2"/>
        <scheme val="minor"/>
      </rPr>
      <t xml:space="preserve">MCPB </t>
    </r>
    <r>
      <rPr>
        <sz val="11"/>
        <color rgb="FFFF0000"/>
        <rFont val="Calibri"/>
        <family val="2"/>
        <scheme val="minor"/>
      </rPr>
      <t>= MCPH * TBTFAP</t>
    </r>
  </si>
  <si>
    <r>
      <rPr>
        <b/>
        <sz val="11"/>
        <color rgb="FFFF0000"/>
        <rFont val="Calibri"/>
        <family val="2"/>
        <scheme val="minor"/>
      </rPr>
      <t xml:space="preserve">TMCPB </t>
    </r>
    <r>
      <rPr>
        <sz val="11"/>
        <color rgb="FFFF0000"/>
        <rFont val="Calibri"/>
        <family val="2"/>
        <scheme val="minor"/>
      </rPr>
      <t>= (M / 2) * (TMOMFP + TMOMFUP)</t>
    </r>
  </si>
  <si>
    <r>
      <rPr>
        <b/>
        <sz val="11"/>
        <color rgb="FFFF0000"/>
        <rFont val="Calibri"/>
        <family val="2"/>
        <scheme val="minor"/>
      </rPr>
      <t xml:space="preserve">TMCPBO </t>
    </r>
    <r>
      <rPr>
        <sz val="11"/>
        <color rgb="FFFF0000"/>
        <rFont val="Calibri"/>
        <family val="2"/>
        <scheme val="minor"/>
      </rPr>
      <t xml:space="preserve">= (M * ((MOPM * N) + MOUPM)) + (MS * ((MOSM * N) + MOUSM))                           </t>
    </r>
  </si>
  <si>
    <r>
      <t xml:space="preserve">MCPB = </t>
    </r>
    <r>
      <rPr>
        <sz val="11"/>
        <color rgb="FFFF0000"/>
        <rFont val="Calibri"/>
        <family val="2"/>
        <scheme val="minor"/>
      </rPr>
      <t>MCPH * TBTFAP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</si>
</sst>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.000000000"/>
    <numFmt numFmtId="165" formatCode="0.0000"/>
    <numFmt numFmtId="166" formatCode="0.00000"/>
    <numFmt numFmtId="167" formatCode="0.0000000"/>
    <numFmt numFmtId="168" formatCode="0.00000000"/>
    <numFmt numFmtId="169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u val="singleAccounting"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u/>
      <sz val="36"/>
      <color rgb="FFFF66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ABFF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6">
    <xf numFmtId="0" fontId="0" fillId="0" borderId="0"/>
    <xf numFmtId="44" fontId="2" fillId="0" borderId="0" applyFont="0" applyFill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3" fillId="0" borderId="4" applyNumberFormat="0" applyFill="0" applyAlignment="0" applyProtection="0"/>
    <xf numFmtId="0" fontId="4" fillId="8" borderId="0" applyNumberFormat="0" applyBorder="0" applyAlignment="0" applyProtection="0"/>
    <xf numFmtId="0" fontId="5" fillId="9" borderId="5" applyNumberFormat="0" applyAlignment="0" applyProtection="0"/>
    <xf numFmtId="0" fontId="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</cellStyleXfs>
  <cellXfs count="274">
    <xf numFmtId="0" fontId="0" fillId="0" borderId="0" xfId="0"/>
    <xf numFmtId="0" fontId="0" fillId="0" borderId="0" xfId="0" applyBorder="1"/>
    <xf numFmtId="0" fontId="3" fillId="7" borderId="2" xfId="7" applyFill="1" applyBorder="1"/>
    <xf numFmtId="0" fontId="3" fillId="7" borderId="3" xfId="7" applyFill="1" applyBorder="1"/>
    <xf numFmtId="0" fontId="3" fillId="7" borderId="6" xfId="7" applyFill="1" applyBorder="1"/>
    <xf numFmtId="0" fontId="3" fillId="7" borderId="7" xfId="7" applyFill="1" applyBorder="1"/>
    <xf numFmtId="0" fontId="9" fillId="11" borderId="7" xfId="11" applyFont="1" applyBorder="1"/>
    <xf numFmtId="0" fontId="2" fillId="11" borderId="8" xfId="11" applyBorder="1"/>
    <xf numFmtId="0" fontId="9" fillId="0" borderId="0" xfId="0" applyFont="1"/>
    <xf numFmtId="0" fontId="2" fillId="5" borderId="11" xfId="5" applyBorder="1"/>
    <xf numFmtId="2" fontId="6" fillId="10" borderId="13" xfId="10" applyNumberFormat="1" applyFont="1" applyBorder="1"/>
    <xf numFmtId="0" fontId="4" fillId="8" borderId="14" xfId="8" applyBorder="1"/>
    <xf numFmtId="0" fontId="4" fillId="8" borderId="1" xfId="8" applyBorder="1"/>
    <xf numFmtId="0" fontId="2" fillId="5" borderId="14" xfId="5" applyBorder="1"/>
    <xf numFmtId="165" fontId="6" fillId="10" borderId="13" xfId="10" applyNumberFormat="1" applyFont="1" applyBorder="1"/>
    <xf numFmtId="0" fontId="2" fillId="5" borderId="16" xfId="5" applyBorder="1"/>
    <xf numFmtId="166" fontId="6" fillId="10" borderId="13" xfId="10" applyNumberFormat="1" applyFont="1" applyBorder="1"/>
    <xf numFmtId="0" fontId="9" fillId="12" borderId="7" xfId="12" applyFont="1" applyBorder="1"/>
    <xf numFmtId="0" fontId="2" fillId="12" borderId="2" xfId="12" applyBorder="1"/>
    <xf numFmtId="0" fontId="9" fillId="3" borderId="18" xfId="3" applyFont="1" applyBorder="1"/>
    <xf numFmtId="0" fontId="2" fillId="3" borderId="19" xfId="3" applyBorder="1"/>
    <xf numFmtId="0" fontId="1" fillId="3" borderId="20" xfId="3" applyFont="1" applyBorder="1"/>
    <xf numFmtId="0" fontId="6" fillId="10" borderId="21" xfId="10" applyNumberFormat="1" applyFont="1" applyBorder="1"/>
    <xf numFmtId="0" fontId="2" fillId="3" borderId="11" xfId="3" applyBorder="1"/>
    <xf numFmtId="0" fontId="1" fillId="3" borderId="12" xfId="3" applyFont="1" applyBorder="1"/>
    <xf numFmtId="167" fontId="6" fillId="10" borderId="13" xfId="10" applyNumberFormat="1" applyFont="1" applyBorder="1"/>
    <xf numFmtId="0" fontId="7" fillId="3" borderId="22" xfId="3" applyFont="1" applyBorder="1"/>
    <xf numFmtId="0" fontId="9" fillId="13" borderId="7" xfId="13" applyFont="1" applyBorder="1"/>
    <xf numFmtId="0" fontId="2" fillId="13" borderId="24" xfId="13" applyBorder="1"/>
    <xf numFmtId="0" fontId="1" fillId="13" borderId="20" xfId="13" applyFont="1" applyBorder="1"/>
    <xf numFmtId="44" fontId="6" fillId="10" borderId="13" xfId="10" applyNumberFormat="1" applyFont="1" applyBorder="1"/>
    <xf numFmtId="0" fontId="2" fillId="13" borderId="11" xfId="13" applyBorder="1"/>
    <xf numFmtId="0" fontId="2" fillId="13" borderId="25" xfId="13" applyBorder="1"/>
    <xf numFmtId="0" fontId="1" fillId="13" borderId="23" xfId="13" applyFont="1" applyBorder="1"/>
    <xf numFmtId="0" fontId="9" fillId="15" borderId="7" xfId="15" applyFont="1" applyBorder="1"/>
    <xf numFmtId="0" fontId="2" fillId="15" borderId="26" xfId="15" applyBorder="1"/>
    <xf numFmtId="0" fontId="9" fillId="2" borderId="7" xfId="2" applyFont="1" applyBorder="1"/>
    <xf numFmtId="0" fontId="2" fillId="2" borderId="24" xfId="2" applyBorder="1"/>
    <xf numFmtId="0" fontId="2" fillId="2" borderId="11" xfId="2" applyBorder="1"/>
    <xf numFmtId="0" fontId="2" fillId="2" borderId="22" xfId="2" applyBorder="1"/>
    <xf numFmtId="0" fontId="1" fillId="2" borderId="23" xfId="2" applyFont="1" applyBorder="1"/>
    <xf numFmtId="0" fontId="9" fillId="4" borderId="7" xfId="4" applyFont="1" applyBorder="1"/>
    <xf numFmtId="0" fontId="2" fillId="4" borderId="24" xfId="4" applyBorder="1"/>
    <xf numFmtId="0" fontId="2" fillId="4" borderId="11" xfId="4" applyBorder="1"/>
    <xf numFmtId="0" fontId="2" fillId="4" borderId="14" xfId="4" applyBorder="1" applyAlignment="1">
      <alignment wrapText="1"/>
    </xf>
    <xf numFmtId="0" fontId="2" fillId="4" borderId="14" xfId="4" applyBorder="1"/>
    <xf numFmtId="0" fontId="7" fillId="4" borderId="25" xfId="4" applyFont="1" applyBorder="1"/>
    <xf numFmtId="0" fontId="9" fillId="14" borderId="7" xfId="14" applyFont="1" applyBorder="1"/>
    <xf numFmtId="0" fontId="2" fillId="14" borderId="24" xfId="14" applyBorder="1"/>
    <xf numFmtId="0" fontId="1" fillId="14" borderId="20" xfId="14" applyFont="1" applyBorder="1"/>
    <xf numFmtId="0" fontId="2" fillId="14" borderId="11" xfId="14" applyBorder="1"/>
    <xf numFmtId="0" fontId="1" fillId="14" borderId="12" xfId="14" applyFont="1" applyBorder="1"/>
    <xf numFmtId="0" fontId="2" fillId="14" borderId="14" xfId="14" applyBorder="1"/>
    <xf numFmtId="0" fontId="1" fillId="14" borderId="15" xfId="14" applyFont="1" applyBorder="1"/>
    <xf numFmtId="0" fontId="6" fillId="10" borderId="13" xfId="10" applyNumberFormat="1" applyFont="1" applyBorder="1"/>
    <xf numFmtId="0" fontId="2" fillId="14" borderId="22" xfId="14" applyBorder="1"/>
    <xf numFmtId="0" fontId="1" fillId="14" borderId="23" xfId="14" applyFont="1" applyBorder="1"/>
    <xf numFmtId="0" fontId="6" fillId="10" borderId="29" xfId="10" applyNumberFormat="1" applyFont="1" applyBorder="1"/>
    <xf numFmtId="0" fontId="4" fillId="8" borderId="16" xfId="8" applyBorder="1"/>
    <xf numFmtId="0" fontId="4" fillId="8" borderId="30" xfId="8" applyBorder="1"/>
    <xf numFmtId="0" fontId="3" fillId="7" borderId="31" xfId="7" applyFill="1" applyBorder="1"/>
    <xf numFmtId="0" fontId="3" fillId="7" borderId="32" xfId="7" applyFill="1" applyBorder="1"/>
    <xf numFmtId="0" fontId="3" fillId="7" borderId="33" xfId="7" applyFill="1" applyBorder="1"/>
    <xf numFmtId="0" fontId="9" fillId="5" borderId="7" xfId="5" applyFont="1" applyBorder="1"/>
    <xf numFmtId="0" fontId="2" fillId="5" borderId="24" xfId="5" applyBorder="1"/>
    <xf numFmtId="0" fontId="0" fillId="5" borderId="20" xfId="5" applyFont="1" applyBorder="1"/>
    <xf numFmtId="164" fontId="6" fillId="10" borderId="10" xfId="10" applyNumberFormat="1" applyFont="1" applyBorder="1"/>
    <xf numFmtId="0" fontId="1" fillId="0" borderId="0" xfId="0" applyFont="1"/>
    <xf numFmtId="0" fontId="0" fillId="5" borderId="12" xfId="5" applyFont="1" applyBorder="1"/>
    <xf numFmtId="0" fontId="6" fillId="10" borderId="34" xfId="10" applyNumberFormat="1" applyFont="1" applyBorder="1"/>
    <xf numFmtId="167" fontId="6" fillId="10" borderId="34" xfId="10" applyNumberFormat="1" applyFont="1" applyBorder="1"/>
    <xf numFmtId="0" fontId="0" fillId="5" borderId="15" xfId="5" applyFont="1" applyBorder="1"/>
    <xf numFmtId="0" fontId="2" fillId="5" borderId="22" xfId="5" applyBorder="1"/>
    <xf numFmtId="0" fontId="0" fillId="5" borderId="23" xfId="5" applyFont="1" applyBorder="1"/>
    <xf numFmtId="0" fontId="0" fillId="12" borderId="20" xfId="12" applyFont="1" applyBorder="1"/>
    <xf numFmtId="168" fontId="6" fillId="10" borderId="13" xfId="10" applyNumberFormat="1" applyFont="1" applyBorder="1"/>
    <xf numFmtId="0" fontId="2" fillId="12" borderId="11" xfId="12" applyBorder="1"/>
    <xf numFmtId="0" fontId="0" fillId="12" borderId="12" xfId="12" applyFont="1" applyBorder="1"/>
    <xf numFmtId="0" fontId="2" fillId="12" borderId="22" xfId="12" applyBorder="1"/>
    <xf numFmtId="0" fontId="0" fillId="12" borderId="23" xfId="12" applyFont="1" applyBorder="1"/>
    <xf numFmtId="0" fontId="9" fillId="3" borderId="7" xfId="3" applyFont="1" applyBorder="1"/>
    <xf numFmtId="0" fontId="2" fillId="3" borderId="24" xfId="3" applyBorder="1"/>
    <xf numFmtId="0" fontId="0" fillId="3" borderId="20" xfId="3" applyFont="1" applyBorder="1"/>
    <xf numFmtId="0" fontId="2" fillId="13" borderId="14" xfId="13" applyBorder="1"/>
    <xf numFmtId="0" fontId="7" fillId="13" borderId="14" xfId="13" applyFont="1" applyBorder="1"/>
    <xf numFmtId="0" fontId="2" fillId="13" borderId="22" xfId="13" applyBorder="1"/>
    <xf numFmtId="0" fontId="0" fillId="2" borderId="20" xfId="2" applyFont="1" applyBorder="1"/>
    <xf numFmtId="0" fontId="0" fillId="2" borderId="12" xfId="2" applyFont="1" applyBorder="1"/>
    <xf numFmtId="0" fontId="2" fillId="2" borderId="14" xfId="2" applyBorder="1"/>
    <xf numFmtId="0" fontId="0" fillId="2" borderId="15" xfId="2" applyFont="1" applyBorder="1"/>
    <xf numFmtId="0" fontId="7" fillId="2" borderId="14" xfId="2" applyFont="1" applyBorder="1"/>
    <xf numFmtId="0" fontId="7" fillId="4" borderId="24" xfId="4" applyFont="1" applyBorder="1"/>
    <xf numFmtId="0" fontId="7" fillId="4" borderId="11" xfId="4" applyFont="1" applyBorder="1"/>
    <xf numFmtId="0" fontId="0" fillId="4" borderId="15" xfId="4" applyFont="1" applyBorder="1"/>
    <xf numFmtId="0" fontId="2" fillId="4" borderId="22" xfId="4" applyBorder="1"/>
    <xf numFmtId="0" fontId="0" fillId="4" borderId="23" xfId="4" applyFont="1" applyBorder="1"/>
    <xf numFmtId="0" fontId="0" fillId="14" borderId="20" xfId="14" applyFont="1" applyBorder="1"/>
    <xf numFmtId="0" fontId="7" fillId="14" borderId="11" xfId="14" applyFont="1" applyBorder="1"/>
    <xf numFmtId="44" fontId="6" fillId="10" borderId="29" xfId="10" applyNumberFormat="1" applyFont="1" applyBorder="1"/>
    <xf numFmtId="0" fontId="11" fillId="9" borderId="18" xfId="9" applyFont="1" applyBorder="1"/>
    <xf numFmtId="0" fontId="5" fillId="9" borderId="35" xfId="9" applyBorder="1"/>
    <xf numFmtId="0" fontId="5" fillId="9" borderId="36" xfId="9" applyBorder="1"/>
    <xf numFmtId="44" fontId="6" fillId="10" borderId="10" xfId="10" applyNumberFormat="1" applyFont="1" applyBorder="1"/>
    <xf numFmtId="0" fontId="5" fillId="9" borderId="37" xfId="9" applyBorder="1"/>
    <xf numFmtId="0" fontId="5" fillId="9" borderId="38" xfId="9" applyBorder="1"/>
    <xf numFmtId="0" fontId="6" fillId="10" borderId="13" xfId="10" applyFont="1" applyBorder="1"/>
    <xf numFmtId="0" fontId="5" fillId="9" borderId="39" xfId="9" applyBorder="1"/>
    <xf numFmtId="0" fontId="5" fillId="9" borderId="40" xfId="9" applyBorder="1"/>
    <xf numFmtId="165" fontId="6" fillId="10" borderId="29" xfId="10" applyNumberFormat="1" applyFont="1" applyBorder="1"/>
    <xf numFmtId="0" fontId="12" fillId="0" borderId="18" xfId="0" applyFont="1" applyBorder="1"/>
    <xf numFmtId="0" fontId="12" fillId="0" borderId="41" xfId="0" applyFont="1" applyBorder="1"/>
    <xf numFmtId="0" fontId="12" fillId="0" borderId="7" xfId="0" applyFont="1" applyBorder="1"/>
    <xf numFmtId="0" fontId="2" fillId="2" borderId="42" xfId="2" applyBorder="1"/>
    <xf numFmtId="0" fontId="1" fillId="2" borderId="43" xfId="2" applyFont="1" applyBorder="1"/>
    <xf numFmtId="44" fontId="2" fillId="5" borderId="10" xfId="1" applyFill="1" applyBorder="1"/>
    <xf numFmtId="0" fontId="1" fillId="13" borderId="44" xfId="13" applyFont="1" applyBorder="1"/>
    <xf numFmtId="44" fontId="2" fillId="5" borderId="13" xfId="1" applyFill="1" applyBorder="1"/>
    <xf numFmtId="0" fontId="2" fillId="15" borderId="14" xfId="15" applyBorder="1"/>
    <xf numFmtId="0" fontId="1" fillId="15" borderId="44" xfId="15" applyFont="1" applyBorder="1"/>
    <xf numFmtId="0" fontId="1" fillId="4" borderId="44" xfId="4" applyFont="1" applyBorder="1"/>
    <xf numFmtId="0" fontId="2" fillId="14" borderId="16" xfId="14" applyBorder="1"/>
    <xf numFmtId="0" fontId="1" fillId="14" borderId="45" xfId="14" applyFont="1" applyBorder="1"/>
    <xf numFmtId="44" fontId="2" fillId="5" borderId="29" xfId="1" applyFill="1" applyBorder="1"/>
    <xf numFmtId="0" fontId="4" fillId="8" borderId="42" xfId="8" applyBorder="1"/>
    <xf numFmtId="0" fontId="4" fillId="8" borderId="46" xfId="8" applyBorder="1"/>
    <xf numFmtId="0" fontId="1" fillId="16" borderId="2" xfId="6" applyFont="1" applyFill="1" applyBorder="1"/>
    <xf numFmtId="0" fontId="1" fillId="16" borderId="3" xfId="6" applyFont="1" applyFill="1" applyBorder="1"/>
    <xf numFmtId="0" fontId="1" fillId="17" borderId="3" xfId="6" applyFont="1" applyFill="1" applyBorder="1"/>
    <xf numFmtId="0" fontId="1" fillId="18" borderId="3" xfId="6" applyFont="1" applyFill="1" applyBorder="1"/>
    <xf numFmtId="0" fontId="1" fillId="19" borderId="41" xfId="6" applyFont="1" applyFill="1" applyBorder="1"/>
    <xf numFmtId="0" fontId="1" fillId="19" borderId="47" xfId="6" applyFont="1" applyFill="1" applyBorder="1"/>
    <xf numFmtId="0" fontId="1" fillId="20" borderId="47" xfId="6" applyFont="1" applyFill="1" applyBorder="1"/>
    <xf numFmtId="0" fontId="1" fillId="21" borderId="47" xfId="6" applyFont="1" applyFill="1" applyBorder="1"/>
    <xf numFmtId="0" fontId="1" fillId="21" borderId="41" xfId="6" applyFont="1" applyFill="1" applyBorder="1"/>
    <xf numFmtId="15" fontId="0" fillId="0" borderId="0" xfId="0" applyNumberFormat="1"/>
    <xf numFmtId="19" fontId="0" fillId="0" borderId="0" xfId="0" applyNumberFormat="1"/>
    <xf numFmtId="0" fontId="2" fillId="13" borderId="2" xfId="13" applyBorder="1"/>
    <xf numFmtId="0" fontId="1" fillId="13" borderId="48" xfId="13" applyFont="1" applyBorder="1"/>
    <xf numFmtId="0" fontId="2" fillId="3" borderId="42" xfId="3" applyBorder="1"/>
    <xf numFmtId="0" fontId="2" fillId="3" borderId="16" xfId="3" applyBorder="1"/>
    <xf numFmtId="0" fontId="0" fillId="3" borderId="49" xfId="3" applyFont="1" applyBorder="1"/>
    <xf numFmtId="0" fontId="7" fillId="13" borderId="42" xfId="13" applyFont="1" applyBorder="1"/>
    <xf numFmtId="0" fontId="2" fillId="13" borderId="16" xfId="13" applyBorder="1"/>
    <xf numFmtId="0" fontId="0" fillId="13" borderId="17" xfId="13" applyFont="1" applyBorder="1"/>
    <xf numFmtId="0" fontId="2" fillId="2" borderId="2" xfId="2" applyBorder="1"/>
    <xf numFmtId="0" fontId="1" fillId="2" borderId="6" xfId="2" applyFont="1" applyBorder="1"/>
    <xf numFmtId="0" fontId="1" fillId="18" borderId="41" xfId="6" applyFont="1" applyFill="1" applyBorder="1"/>
    <xf numFmtId="0" fontId="6" fillId="10" borderId="50" xfId="10" applyNumberFormat="1" applyFont="1" applyBorder="1"/>
    <xf numFmtId="169" fontId="6" fillId="10" borderId="13" xfId="10" applyNumberFormat="1" applyFont="1" applyBorder="1"/>
    <xf numFmtId="44" fontId="14" fillId="10" borderId="13" xfId="10" applyNumberFormat="1" applyFont="1" applyBorder="1"/>
    <xf numFmtId="2" fontId="15" fillId="10" borderId="13" xfId="10" applyNumberFormat="1" applyFont="1" applyBorder="1"/>
    <xf numFmtId="1" fontId="15" fillId="10" borderId="13" xfId="10" applyNumberFormat="1" applyFont="1" applyBorder="1"/>
    <xf numFmtId="2" fontId="15" fillId="10" borderId="10" xfId="10" applyNumberFormat="1" applyFont="1" applyBorder="1"/>
    <xf numFmtId="166" fontId="15" fillId="10" borderId="13" xfId="10" applyNumberFormat="1" applyFont="1" applyBorder="1"/>
    <xf numFmtId="164" fontId="15" fillId="10" borderId="13" xfId="10" applyNumberFormat="1" applyFont="1" applyBorder="1"/>
    <xf numFmtId="167" fontId="15" fillId="10" borderId="13" xfId="10" applyNumberFormat="1" applyFont="1" applyBorder="1"/>
    <xf numFmtId="0" fontId="15" fillId="10" borderId="50" xfId="10" applyNumberFormat="1" applyFont="1" applyBorder="1"/>
    <xf numFmtId="165" fontId="15" fillId="10" borderId="13" xfId="10" applyNumberFormat="1" applyFont="1" applyBorder="1"/>
    <xf numFmtId="167" fontId="6" fillId="10" borderId="21" xfId="10" applyNumberFormat="1" applyFont="1" applyBorder="1"/>
    <xf numFmtId="0" fontId="2" fillId="12" borderId="8" xfId="12" applyBorder="1"/>
    <xf numFmtId="0" fontId="0" fillId="12" borderId="19" xfId="12" applyFont="1" applyBorder="1"/>
    <xf numFmtId="0" fontId="0" fillId="12" borderId="51" xfId="12" applyFont="1" applyBorder="1"/>
    <xf numFmtId="0" fontId="0" fillId="3" borderId="43" xfId="3" applyFont="1" applyBorder="1"/>
    <xf numFmtId="0" fontId="0" fillId="3" borderId="0" xfId="3" applyFont="1" applyBorder="1"/>
    <xf numFmtId="0" fontId="0" fillId="13" borderId="43" xfId="13" applyFont="1" applyBorder="1"/>
    <xf numFmtId="0" fontId="1" fillId="13" borderId="19" xfId="13" applyFont="1" applyBorder="1"/>
    <xf numFmtId="0" fontId="0" fillId="13" borderId="44" xfId="13" applyFont="1" applyBorder="1"/>
    <xf numFmtId="0" fontId="0" fillId="13" borderId="51" xfId="13" applyFont="1" applyBorder="1"/>
    <xf numFmtId="0" fontId="0" fillId="2" borderId="43" xfId="2" applyFont="1" applyBorder="1"/>
    <xf numFmtId="0" fontId="0" fillId="2" borderId="19" xfId="2" applyFont="1" applyBorder="1"/>
    <xf numFmtId="0" fontId="0" fillId="2" borderId="44" xfId="2" applyFont="1" applyBorder="1"/>
    <xf numFmtId="0" fontId="0" fillId="4" borderId="44" xfId="4" applyFont="1" applyBorder="1"/>
    <xf numFmtId="0" fontId="0" fillId="4" borderId="51" xfId="4" applyFont="1" applyBorder="1"/>
    <xf numFmtId="0" fontId="0" fillId="14" borderId="43" xfId="14" applyFont="1" applyBorder="1"/>
    <xf numFmtId="0" fontId="0" fillId="14" borderId="51" xfId="14" applyFont="1" applyBorder="1"/>
    <xf numFmtId="0" fontId="9" fillId="5" borderId="18" xfId="5" applyFont="1" applyBorder="1"/>
    <xf numFmtId="0" fontId="2" fillId="5" borderId="42" xfId="5" applyBorder="1"/>
    <xf numFmtId="0" fontId="0" fillId="5" borderId="17" xfId="5" applyFont="1" applyBorder="1"/>
    <xf numFmtId="164" fontId="6" fillId="10" borderId="52" xfId="10" applyNumberFormat="1" applyFont="1" applyBorder="1"/>
    <xf numFmtId="0" fontId="6" fillId="10" borderId="9" xfId="10" applyNumberFormat="1" applyFont="1" applyBorder="1"/>
    <xf numFmtId="167" fontId="6" fillId="10" borderId="9" xfId="10" applyNumberFormat="1" applyFont="1" applyBorder="1"/>
    <xf numFmtId="0" fontId="9" fillId="12" borderId="18" xfId="12" applyFont="1" applyBorder="1"/>
    <xf numFmtId="0" fontId="4" fillId="8" borderId="53" xfId="8" applyBorder="1"/>
    <xf numFmtId="0" fontId="2" fillId="2" borderId="8" xfId="2" applyBorder="1"/>
    <xf numFmtId="166" fontId="6" fillId="10" borderId="34" xfId="10" applyNumberFormat="1" applyFont="1" applyBorder="1"/>
    <xf numFmtId="0" fontId="2" fillId="12" borderId="42" xfId="12" applyBorder="1"/>
    <xf numFmtId="167" fontId="6" fillId="10" borderId="50" xfId="10" applyNumberFormat="1" applyFont="1" applyBorder="1"/>
    <xf numFmtId="165" fontId="6" fillId="10" borderId="10" xfId="10" applyNumberFormat="1" applyFont="1" applyBorder="1"/>
    <xf numFmtId="169" fontId="6" fillId="10" borderId="29" xfId="10" applyNumberFormat="1" applyFont="1" applyBorder="1"/>
    <xf numFmtId="0" fontId="2" fillId="12" borderId="54" xfId="12" applyBorder="1"/>
    <xf numFmtId="2" fontId="15" fillId="10" borderId="34" xfId="10" applyNumberFormat="1" applyFont="1" applyBorder="1"/>
    <xf numFmtId="0" fontId="9" fillId="11" borderId="18" xfId="11" applyFont="1" applyBorder="1"/>
    <xf numFmtId="0" fontId="4" fillId="8" borderId="21" xfId="8" applyBorder="1"/>
    <xf numFmtId="0" fontId="4" fillId="8" borderId="10" xfId="8" applyBorder="1"/>
    <xf numFmtId="0" fontId="4" fillId="8" borderId="13" xfId="8" applyBorder="1"/>
    <xf numFmtId="0" fontId="4" fillId="8" borderId="29" xfId="8" applyBorder="1"/>
    <xf numFmtId="0" fontId="3" fillId="7" borderId="56" xfId="7" applyFill="1" applyBorder="1"/>
    <xf numFmtId="0" fontId="3" fillId="7" borderId="57" xfId="7" applyFill="1" applyBorder="1"/>
    <xf numFmtId="0" fontId="9" fillId="14" borderId="18" xfId="14" applyFont="1" applyBorder="1"/>
    <xf numFmtId="0" fontId="2" fillId="14" borderId="42" xfId="14" applyBorder="1"/>
    <xf numFmtId="0" fontId="7" fillId="14" borderId="16" xfId="14" applyFont="1" applyBorder="1"/>
    <xf numFmtId="0" fontId="3" fillId="7" borderId="59" xfId="7" applyFill="1" applyBorder="1"/>
    <xf numFmtId="0" fontId="3" fillId="7" borderId="27" xfId="7" applyFill="1" applyBorder="1"/>
    <xf numFmtId="0" fontId="1" fillId="21" borderId="3" xfId="6" applyFont="1" applyFill="1" applyBorder="1"/>
    <xf numFmtId="0" fontId="1" fillId="20" borderId="3" xfId="6" applyFont="1" applyFill="1" applyBorder="1"/>
    <xf numFmtId="0" fontId="1" fillId="20" borderId="6" xfId="5" applyFont="1" applyFill="1" applyBorder="1"/>
    <xf numFmtId="0" fontId="4" fillId="8" borderId="9" xfId="8" applyBorder="1"/>
    <xf numFmtId="165" fontId="15" fillId="10" borderId="10" xfId="10" applyNumberFormat="1" applyFont="1" applyBorder="1"/>
    <xf numFmtId="0" fontId="4" fillId="8" borderId="58" xfId="8" applyBorder="1"/>
    <xf numFmtId="0" fontId="0" fillId="17" borderId="44" xfId="2" applyFont="1" applyFill="1" applyBorder="1"/>
    <xf numFmtId="0" fontId="9" fillId="2" borderId="18" xfId="2" applyFont="1" applyBorder="1"/>
    <xf numFmtId="0" fontId="7" fillId="4" borderId="8" xfId="4" applyFont="1" applyBorder="1"/>
    <xf numFmtId="0" fontId="2" fillId="17" borderId="42" xfId="14" applyFill="1" applyBorder="1"/>
    <xf numFmtId="0" fontId="2" fillId="17" borderId="14" xfId="14" applyFill="1" applyBorder="1"/>
    <xf numFmtId="0" fontId="2" fillId="17" borderId="14" xfId="2" applyFill="1" applyBorder="1"/>
    <xf numFmtId="0" fontId="7" fillId="17" borderId="16" xfId="2" applyFont="1" applyFill="1" applyBorder="1"/>
    <xf numFmtId="0" fontId="1" fillId="17" borderId="43" xfId="14" applyFont="1" applyFill="1" applyBorder="1"/>
    <xf numFmtId="0" fontId="1" fillId="17" borderId="44" xfId="14" applyFont="1" applyFill="1" applyBorder="1"/>
    <xf numFmtId="0" fontId="1" fillId="0" borderId="10" xfId="0" applyFont="1" applyBorder="1"/>
    <xf numFmtId="0" fontId="0" fillId="22" borderId="13" xfId="0" applyFill="1" applyBorder="1"/>
    <xf numFmtId="0" fontId="0" fillId="22" borderId="50" xfId="0" applyFill="1" applyBorder="1"/>
    <xf numFmtId="0" fontId="1" fillId="0" borderId="2" xfId="0" applyFont="1" applyBorder="1"/>
    <xf numFmtId="0" fontId="1" fillId="0" borderId="3" xfId="0" applyFont="1" applyBorder="1"/>
    <xf numFmtId="0" fontId="1" fillId="0" borderId="6" xfId="0" applyFont="1" applyBorder="1"/>
    <xf numFmtId="0" fontId="0" fillId="23" borderId="11" xfId="0" applyFill="1" applyBorder="1"/>
    <xf numFmtId="0" fontId="0" fillId="23" borderId="60" xfId="0" applyFill="1" applyBorder="1"/>
    <xf numFmtId="0" fontId="0" fillId="23" borderId="12" xfId="0" applyFill="1" applyBorder="1"/>
    <xf numFmtId="0" fontId="0" fillId="22" borderId="14" xfId="0" applyFill="1" applyBorder="1"/>
    <xf numFmtId="0" fontId="0" fillId="22" borderId="1" xfId="0" applyFill="1" applyBorder="1"/>
    <xf numFmtId="0" fontId="0" fillId="22" borderId="15" xfId="0" applyFill="1" applyBorder="1"/>
    <xf numFmtId="0" fontId="0" fillId="22" borderId="30" xfId="0" applyFill="1" applyBorder="1"/>
    <xf numFmtId="0" fontId="0" fillId="22" borderId="17" xfId="0" applyFill="1" applyBorder="1"/>
    <xf numFmtId="0" fontId="0" fillId="0" borderId="0" xfId="0" applyFill="1" applyBorder="1"/>
    <xf numFmtId="0" fontId="0" fillId="22" borderId="16" xfId="0" applyFill="1" applyBorder="1"/>
    <xf numFmtId="0" fontId="2" fillId="21" borderId="14" xfId="3" applyFill="1" applyBorder="1"/>
    <xf numFmtId="0" fontId="1" fillId="21" borderId="15" xfId="3" applyFont="1" applyFill="1" applyBorder="1"/>
    <xf numFmtId="167" fontId="15" fillId="10" borderId="61" xfId="10" applyNumberFormat="1" applyFont="1" applyBorder="1"/>
    <xf numFmtId="44" fontId="6" fillId="10" borderId="62" xfId="10" applyNumberFormat="1" applyFont="1" applyBorder="1"/>
    <xf numFmtId="44" fontId="6" fillId="10" borderId="61" xfId="10" applyNumberFormat="1" applyFont="1" applyBorder="1"/>
    <xf numFmtId="44" fontId="6" fillId="10" borderId="63" xfId="10" applyNumberFormat="1" applyFont="1" applyBorder="1"/>
    <xf numFmtId="0" fontId="3" fillId="7" borderId="64" xfId="7" applyFill="1" applyBorder="1"/>
    <xf numFmtId="0" fontId="1" fillId="22" borderId="9" xfId="11" applyFont="1" applyFill="1" applyBorder="1"/>
    <xf numFmtId="0" fontId="1" fillId="22" borderId="12" xfId="5" applyFont="1" applyFill="1" applyBorder="1"/>
    <xf numFmtId="0" fontId="1" fillId="22" borderId="15" xfId="5" applyFont="1" applyFill="1" applyBorder="1"/>
    <xf numFmtId="0" fontId="1" fillId="22" borderId="17" xfId="5" applyFont="1" applyFill="1" applyBorder="1"/>
    <xf numFmtId="0" fontId="1" fillId="22" borderId="6" xfId="12" applyFont="1" applyFill="1" applyBorder="1"/>
    <xf numFmtId="0" fontId="1" fillId="22" borderId="12" xfId="3" applyFont="1" applyFill="1" applyBorder="1"/>
    <xf numFmtId="0" fontId="1" fillId="22" borderId="27" xfId="15" applyFont="1" applyFill="1" applyBorder="1"/>
    <xf numFmtId="0" fontId="1" fillId="22" borderId="20" xfId="2" applyFont="1" applyFill="1" applyBorder="1"/>
    <xf numFmtId="0" fontId="12" fillId="24" borderId="0" xfId="0" applyFont="1" applyFill="1"/>
    <xf numFmtId="0" fontId="13" fillId="24" borderId="0" xfId="7" applyFont="1" applyFill="1" applyBorder="1"/>
    <xf numFmtId="0" fontId="3" fillId="24" borderId="0" xfId="7" applyFill="1" applyBorder="1"/>
    <xf numFmtId="0" fontId="1" fillId="22" borderId="20" xfId="4" applyFont="1" applyFill="1" applyBorder="1"/>
    <xf numFmtId="0" fontId="1" fillId="22" borderId="12" xfId="4" applyFont="1" applyFill="1" applyBorder="1"/>
    <xf numFmtId="0" fontId="1" fillId="22" borderId="15" xfId="4" applyFont="1" applyFill="1" applyBorder="1"/>
    <xf numFmtId="0" fontId="1" fillId="22" borderId="23" xfId="14" applyFont="1" applyFill="1" applyBorder="1"/>
    <xf numFmtId="0" fontId="1" fillId="22" borderId="23" xfId="2" applyFont="1" applyFill="1" applyBorder="1"/>
    <xf numFmtId="0" fontId="1" fillId="22" borderId="20" xfId="5" applyFont="1" applyFill="1" applyBorder="1"/>
    <xf numFmtId="0" fontId="1" fillId="22" borderId="55" xfId="12" applyFont="1" applyFill="1" applyBorder="1"/>
    <xf numFmtId="0" fontId="19" fillId="22" borderId="23" xfId="3" applyFont="1" applyFill="1" applyBorder="1"/>
    <xf numFmtId="0" fontId="19" fillId="22" borderId="28" xfId="4" applyFont="1" applyFill="1" applyBorder="1"/>
    <xf numFmtId="0" fontId="7" fillId="13" borderId="44" xfId="13" applyFont="1" applyBorder="1"/>
    <xf numFmtId="0" fontId="7" fillId="2" borderId="44" xfId="2" applyFont="1" applyBorder="1"/>
    <xf numFmtId="0" fontId="7" fillId="4" borderId="43" xfId="4" applyFont="1" applyBorder="1"/>
    <xf numFmtId="0" fontId="7" fillId="4" borderId="19" xfId="4" applyFont="1" applyBorder="1"/>
    <xf numFmtId="0" fontId="7" fillId="14" borderId="19" xfId="14" applyFont="1" applyBorder="1"/>
    <xf numFmtId="0" fontId="19" fillId="3" borderId="23" xfId="3" applyFont="1" applyBorder="1"/>
    <xf numFmtId="0" fontId="7" fillId="13" borderId="20" xfId="13" applyFont="1" applyBorder="1"/>
    <xf numFmtId="0" fontId="7" fillId="2" borderId="15" xfId="2" applyFont="1" applyBorder="1"/>
    <xf numFmtId="0" fontId="7" fillId="4" borderId="20" xfId="4" applyFont="1" applyBorder="1"/>
    <xf numFmtId="0" fontId="7" fillId="4" borderId="12" xfId="4" applyFont="1" applyBorder="1"/>
    <xf numFmtId="0" fontId="7" fillId="14" borderId="12" xfId="14" applyFont="1" applyBorder="1"/>
    <xf numFmtId="0" fontId="7" fillId="17" borderId="45" xfId="2" applyFont="1" applyFill="1" applyBorder="1"/>
    <xf numFmtId="0" fontId="19" fillId="14" borderId="45" xfId="14" applyFont="1" applyBorder="1"/>
  </cellXfs>
  <cellStyles count="16">
    <cellStyle name="20% - Accent1" xfId="11" builtinId="30"/>
    <cellStyle name="20% - Accent2" xfId="2" builtinId="34"/>
    <cellStyle name="20% - Accent3" xfId="13" builtinId="38"/>
    <cellStyle name="20% - Accent4" xfId="3" builtinId="42"/>
    <cellStyle name="20% - Accent5" xfId="5" builtinId="46"/>
    <cellStyle name="20% - Accent6" xfId="6" builtinId="50"/>
    <cellStyle name="40% - Accent2" xfId="12" builtinId="35"/>
    <cellStyle name="40% - Accent3" xfId="14" builtinId="39"/>
    <cellStyle name="40% - Accent4" xfId="4" builtinId="43"/>
    <cellStyle name="40% - Accent6" xfId="15" builtinId="51"/>
    <cellStyle name="Accent1" xfId="10" builtinId="29"/>
    <cellStyle name="Calculation" xfId="9" builtinId="22"/>
    <cellStyle name="Currency" xfId="1" builtinId="4"/>
    <cellStyle name="Good" xfId="8" builtinId="26"/>
    <cellStyle name="Heading 1" xfId="7" builtinId="16"/>
    <cellStyle name="Normal" xfId="0" builtinId="0"/>
  </cellStyles>
  <dxfs count="0"/>
  <tableStyles count="0" defaultTableStyle="TableStyleMedium2" defaultPivotStyle="PivotStyleLight16"/>
  <colors>
    <mruColors>
      <color rgb="FFFFABFF"/>
      <color rgb="FF6C6CFC"/>
      <color rgb="FFD1FFD1"/>
      <color rgb="FFFFFFB7"/>
      <color rgb="FFDCDCDC"/>
      <color rgb="FFF4C990"/>
      <color rgb="FF97FF97"/>
      <color rgb="FFA0A0E0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DMLS Cost Distribution</a:t>
            </a:r>
            <a:r>
              <a:rPr lang="en-US" baseline="0"/>
              <a:t> Per Part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BAA1-421C-9663-6234B0269FAF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AA1-421C-9663-6234B0269FAF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BAA1-421C-9663-6234B0269FAF}"/>
              </c:ext>
            </c:extLst>
          </c:dPt>
          <c:dPt>
            <c:idx val="3"/>
            <c:bubble3D val="0"/>
            <c:spPr>
              <a:solidFill>
                <a:srgbClr val="FFFFB7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AA1-421C-9663-6234B0269FAF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BAA1-421C-9663-6234B0269FAF}"/>
              </c:ext>
            </c:extLst>
          </c:dPt>
          <c:dPt>
            <c:idx val="5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AA1-421C-9663-6234B0269FAF}"/>
              </c:ext>
            </c:extLst>
          </c:dPt>
          <c:dLbls>
            <c:dLbl>
              <c:idx val="0"/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8344000665278195E-2"/>
                      <c:h val="6.18243996524937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BAA1-421C-9663-6234B0269FAF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Skeleton!$C$66:$C$71</c:f>
              <c:strCache>
                <c:ptCount val="6"/>
                <c:pt idx="0">
                  <c:v>Material Cost [$]</c:v>
                </c:pt>
                <c:pt idx="1">
                  <c:v>Consumption Cost [$]</c:v>
                </c:pt>
                <c:pt idx="2">
                  <c:v>Cost of Failure[$]</c:v>
                </c:pt>
                <c:pt idx="3">
                  <c:v>Pre-Processing Labor Cost [$]</c:v>
                </c:pt>
                <c:pt idx="4">
                  <c:v>Post-Processing Labor Cost [$]</c:v>
                </c:pt>
                <c:pt idx="5">
                  <c:v>Machine Cost [$]</c:v>
                </c:pt>
              </c:strCache>
            </c:strRef>
          </c:cat>
          <c:val>
            <c:numRef>
              <c:f>Skeleton!$E$66:$E$71</c:f>
              <c:numCache>
                <c:formatCode>_("$"* #,##0.00_);_("$"* \(#,##0.00\);_("$"* "-"??_);_(@_)</c:formatCode>
                <c:ptCount val="6"/>
                <c:pt idx="0">
                  <c:v>1.9492000000000003</c:v>
                </c:pt>
                <c:pt idx="1">
                  <c:v>5.5924237327188848</c:v>
                </c:pt>
                <c:pt idx="2">
                  <c:v>14.36613948636716</c:v>
                </c:pt>
                <c:pt idx="3">
                  <c:v>42.580645161290285</c:v>
                </c:pt>
                <c:pt idx="4">
                  <c:v>60</c:v>
                </c:pt>
                <c:pt idx="5">
                  <c:v>177.20052083333329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1-421C-9663-6234B0269FA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64640464632936701"/>
          <c:y val="0.26438966428494615"/>
          <c:w val="0.29639107324426595"/>
          <c:h val="0.6243833508954319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SLS Cost Distribution</a:t>
            </a:r>
            <a:r>
              <a:rPr lang="en-US" baseline="0"/>
              <a:t> Per Part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475-44FE-B867-9D7D44B1423C}"/>
              </c:ext>
            </c:extLst>
          </c:dPt>
          <c:dPt>
            <c:idx val="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475-44FE-B867-9D7D44B1423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475-44FE-B867-9D7D44B1423C}"/>
              </c:ext>
            </c:extLst>
          </c:dPt>
          <c:dPt>
            <c:idx val="3"/>
            <c:bubble3D val="0"/>
            <c:spPr>
              <a:solidFill>
                <a:srgbClr val="FFFFB7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475-44FE-B867-9D7D44B1423C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475-44FE-B867-9D7D44B1423C}"/>
              </c:ext>
            </c:extLst>
          </c:dPt>
          <c:dPt>
            <c:idx val="5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475-44FE-B867-9D7D44B1423C}"/>
              </c:ext>
            </c:extLst>
          </c:dPt>
          <c:dLbls>
            <c:dLbl>
              <c:idx val="0"/>
              <c:layout>
                <c:manualLayout>
                  <c:x val="-0.1653383089030061"/>
                  <c:y val="3.4634980401622474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475-44FE-B867-9D7D44B1423C}"/>
                </c:ext>
              </c:extLst>
            </c:dLbl>
            <c:dLbl>
              <c:idx val="1"/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46100143616708"/>
                      <c:h val="7.068363347269891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475-44FE-B867-9D7D44B1423C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Skeleton!$I$61:$I$66</c:f>
              <c:strCache>
                <c:ptCount val="6"/>
                <c:pt idx="0">
                  <c:v>Material Cost [$]</c:v>
                </c:pt>
                <c:pt idx="1">
                  <c:v>Consumption Cost [$]</c:v>
                </c:pt>
                <c:pt idx="2">
                  <c:v>Cost of Failure[$]</c:v>
                </c:pt>
                <c:pt idx="3">
                  <c:v>Pre-Processing Labor Cost [$]</c:v>
                </c:pt>
                <c:pt idx="4">
                  <c:v>Post-Processing Labor Cost [$]</c:v>
                </c:pt>
                <c:pt idx="5">
                  <c:v>Machine Cost [$]</c:v>
                </c:pt>
              </c:strCache>
            </c:strRef>
          </c:cat>
          <c:val>
            <c:numRef>
              <c:f>Skeleton!$K$61:$K$66</c:f>
              <c:numCache>
                <c:formatCode>_("$"* #,##0.00_);_("$"* \(#,##0.00\);_("$"* "-"??_);_(@_)</c:formatCode>
                <c:ptCount val="6"/>
                <c:pt idx="0">
                  <c:v>2.375E-2</c:v>
                </c:pt>
                <c:pt idx="1">
                  <c:v>30</c:v>
                </c:pt>
                <c:pt idx="2">
                  <c:v>8.7079004629629821</c:v>
                </c:pt>
                <c:pt idx="3">
                  <c:v>54</c:v>
                </c:pt>
                <c:pt idx="4">
                  <c:v>24</c:v>
                </c:pt>
                <c:pt idx="5">
                  <c:v>66.134259259259267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75-44FE-B867-9D7D44B1423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60064445035025"/>
          <c:y val="0.23720897010276301"/>
          <c:w val="0.29475664728369816"/>
          <c:h val="0.6600942641321148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SLA Cost Distribution</a:t>
            </a:r>
            <a:r>
              <a:rPr lang="en-US" baseline="0"/>
              <a:t> Per Part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6D5-4542-937F-B91455665144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6D5-4542-937F-B91455665144}"/>
              </c:ext>
            </c:extLst>
          </c:dPt>
          <c:dPt>
            <c:idx val="2"/>
            <c:bubble3D val="0"/>
            <c:spPr>
              <a:solidFill>
                <a:srgbClr val="FFFFB7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6D5-4542-937F-B9145566514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6D5-4542-937F-B91455665144}"/>
              </c:ext>
            </c:extLst>
          </c:dPt>
          <c:dPt>
            <c:idx val="4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6D5-4542-937F-B9145566514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Skeleton!$O$51:$O$55</c:f>
              <c:strCache>
                <c:ptCount val="5"/>
                <c:pt idx="0">
                  <c:v>Material Cost [$]</c:v>
                </c:pt>
                <c:pt idx="1">
                  <c:v>Cost of Failure[$]</c:v>
                </c:pt>
                <c:pt idx="2">
                  <c:v>Pre-Processing Labor Cost [$]</c:v>
                </c:pt>
                <c:pt idx="3">
                  <c:v>Post-Processing Labor Cost [$]</c:v>
                </c:pt>
                <c:pt idx="4">
                  <c:v>Machine Cost [$]</c:v>
                </c:pt>
              </c:strCache>
            </c:strRef>
          </c:cat>
          <c:val>
            <c:numRef>
              <c:f>Skeleton!$Q$51:$Q$55</c:f>
              <c:numCache>
                <c:formatCode>_("$"* #,##0.00_);_("$"* \(#,##0.00\);_("$"* "-"??_);_(@_)</c:formatCode>
                <c:ptCount val="5"/>
                <c:pt idx="0">
                  <c:v>0.32524799999999998</c:v>
                </c:pt>
                <c:pt idx="1">
                  <c:v>15.345272166226607</c:v>
                </c:pt>
                <c:pt idx="2">
                  <c:v>63</c:v>
                </c:pt>
                <c:pt idx="3">
                  <c:v>30</c:v>
                </c:pt>
                <c:pt idx="4">
                  <c:v>8.9765664415107604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6D5-4542-937F-B9145566514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122155091336816"/>
          <c:y val="0.24856767614656095"/>
          <c:w val="0.29486421254280504"/>
          <c:h val="0.5367521941071865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OBJET Cost Distribution</a:t>
            </a:r>
            <a:r>
              <a:rPr lang="en-US" baseline="0"/>
              <a:t> Per Part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EF4-4A49-8907-13F41F7996D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EF4-4A49-8907-13F41F7996D1}"/>
              </c:ext>
            </c:extLst>
          </c:dPt>
          <c:dPt>
            <c:idx val="2"/>
            <c:bubble3D val="0"/>
            <c:spPr>
              <a:solidFill>
                <a:srgbClr val="FFFFB7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EF4-4A49-8907-13F41F7996D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EF4-4A49-8907-13F41F7996D1}"/>
              </c:ext>
            </c:extLst>
          </c:dPt>
          <c:dPt>
            <c:idx val="4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EF4-4A49-8907-13F41F7996D1}"/>
              </c:ext>
            </c:extLst>
          </c:dPt>
          <c:dLbls>
            <c:dLbl>
              <c:idx val="4"/>
              <c:layout>
                <c:manualLayout>
                  <c:x val="-0.19044640548118896"/>
                  <c:y val="8.8230919598844288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EF4-4A49-8907-13F41F7996D1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Skeleton!$U$43:$U$47</c:f>
              <c:strCache>
                <c:ptCount val="5"/>
                <c:pt idx="0">
                  <c:v>Material Cost [$]</c:v>
                </c:pt>
                <c:pt idx="1">
                  <c:v>Cost of Failure[$]</c:v>
                </c:pt>
                <c:pt idx="2">
                  <c:v>Pre-Processing Labor Cost [$]</c:v>
                </c:pt>
                <c:pt idx="3">
                  <c:v>Post-Processing Labor Cost [$]</c:v>
                </c:pt>
                <c:pt idx="4">
                  <c:v>Machine Cost [$]</c:v>
                </c:pt>
              </c:strCache>
            </c:strRef>
          </c:cat>
          <c:val>
            <c:numRef>
              <c:f>Skeleton!$W$43:$W$47</c:f>
              <c:numCache>
                <c:formatCode>_("$"* #,##0.00_);_("$"* \(#,##0.00\);_("$"* "-"??_);_(@_)</c:formatCode>
                <c:ptCount val="5"/>
                <c:pt idx="0">
                  <c:v>4.4800000000000004</c:v>
                </c:pt>
                <c:pt idx="1">
                  <c:v>1.7562500000000014</c:v>
                </c:pt>
                <c:pt idx="2">
                  <c:v>7.8000000000000007</c:v>
                </c:pt>
                <c:pt idx="3">
                  <c:v>18</c:v>
                </c:pt>
                <c:pt idx="4">
                  <c:v>4.8449999999999998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EF4-4A49-8907-13F41F7996D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069359617377483"/>
          <c:y val="0.27204203564882862"/>
          <c:w val="0.34599492970430862"/>
          <c:h val="0.5825233808114264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6</xdr:col>
          <xdr:colOff>601980</xdr:colOff>
          <xdr:row>7</xdr:row>
          <xdr:rowOff>22860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1" i="0" u="sng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Launch GUI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2221148</xdr:colOff>
      <xdr:row>72</xdr:row>
      <xdr:rowOff>178278</xdr:rowOff>
    </xdr:from>
    <xdr:to>
      <xdr:col>3</xdr:col>
      <xdr:colOff>4035605</xdr:colOff>
      <xdr:row>91</xdr:row>
      <xdr:rowOff>145106</xdr:rowOff>
    </xdr:to>
    <xdr:graphicFrame macro="">
      <xdr:nvGraphicFramePr>
        <xdr:cNvPr id="3" name="DMLSCha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1087978</xdr:colOff>
      <xdr:row>69</xdr:row>
      <xdr:rowOff>47737</xdr:rowOff>
    </xdr:from>
    <xdr:to>
      <xdr:col>9</xdr:col>
      <xdr:colOff>4213671</xdr:colOff>
      <xdr:row>88</xdr:row>
      <xdr:rowOff>49315</xdr:rowOff>
    </xdr:to>
    <xdr:graphicFrame macro="">
      <xdr:nvGraphicFramePr>
        <xdr:cNvPr id="4" name="SLSCha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1934228</xdr:colOff>
      <xdr:row>59</xdr:row>
      <xdr:rowOff>206160</xdr:rowOff>
    </xdr:from>
    <xdr:to>
      <xdr:col>15</xdr:col>
      <xdr:colOff>5024033</xdr:colOff>
      <xdr:row>78</xdr:row>
      <xdr:rowOff>51662</xdr:rowOff>
    </xdr:to>
    <xdr:graphicFrame macro="">
      <xdr:nvGraphicFramePr>
        <xdr:cNvPr id="5" name="SLAChar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2294183</xdr:colOff>
      <xdr:row>49</xdr:row>
      <xdr:rowOff>6880</xdr:rowOff>
    </xdr:from>
    <xdr:to>
      <xdr:col>22</xdr:col>
      <xdr:colOff>178340</xdr:colOff>
      <xdr:row>64</xdr:row>
      <xdr:rowOff>210766</xdr:rowOff>
    </xdr:to>
    <xdr:graphicFrame macro="">
      <xdr:nvGraphicFramePr>
        <xdr:cNvPr id="6" name="OBJETChar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6035D-71ED-4302-9281-E69C481AA205}">
  <sheetPr codeName="Sheet4"/>
  <dimension ref="A1"/>
  <sheetViews>
    <sheetView workbookViewId="0">
      <selection activeCell="A7" sqref="A7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adForm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6</xdr:col>
                    <xdr:colOff>601980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69812-8EB2-4977-9618-1A8C6B0D449C}">
  <sheetPr codeName="Sheet1"/>
  <dimension ref="A1:X71"/>
  <sheetViews>
    <sheetView tabSelected="1" zoomScaleNormal="100" workbookViewId="0">
      <selection activeCell="Y10" sqref="Y10"/>
    </sheetView>
  </sheetViews>
  <sheetFormatPr defaultRowHeight="14.4" x14ac:dyDescent="0.3"/>
  <cols>
    <col min="1" max="1" width="12.6640625" customWidth="1"/>
    <col min="2" max="2" width="21.6640625" bestFit="1" customWidth="1"/>
    <col min="3" max="3" width="64.6640625" bestFit="1" customWidth="1"/>
    <col min="4" max="4" width="86.5546875" bestFit="1" customWidth="1"/>
    <col min="5" max="5" width="21.77734375" bestFit="1" customWidth="1"/>
    <col min="6" max="6" width="8" bestFit="1" customWidth="1"/>
    <col min="7" max="7" width="5.33203125" bestFit="1" customWidth="1"/>
    <col min="8" max="8" width="21.44140625" bestFit="1" customWidth="1"/>
    <col min="9" max="9" width="42.77734375" bestFit="1" customWidth="1"/>
    <col min="10" max="10" width="89.21875" bestFit="1" customWidth="1"/>
    <col min="11" max="11" width="16.109375" customWidth="1"/>
    <col min="13" max="13" width="5.5546875" bestFit="1" customWidth="1"/>
    <col min="14" max="14" width="18.5546875" bestFit="1" customWidth="1"/>
    <col min="15" max="15" width="42.77734375" bestFit="1" customWidth="1"/>
    <col min="16" max="16" width="87.88671875" bestFit="1" customWidth="1"/>
    <col min="17" max="17" width="21.6640625" bestFit="1" customWidth="1"/>
    <col min="20" max="20" width="18.5546875" bestFit="1" customWidth="1"/>
    <col min="21" max="21" width="50.44140625" bestFit="1" customWidth="1"/>
    <col min="22" max="22" width="68.44140625" bestFit="1" customWidth="1"/>
    <col min="23" max="23" width="21.6640625" bestFit="1" customWidth="1"/>
  </cols>
  <sheetData>
    <row r="1" spans="1:24" ht="20.399999999999999" thickBot="1" x14ac:dyDescent="0.45">
      <c r="A1" s="249" t="s">
        <v>43</v>
      </c>
      <c r="B1" s="2" t="s">
        <v>1</v>
      </c>
      <c r="C1" s="3" t="s">
        <v>42</v>
      </c>
      <c r="D1" s="4" t="s">
        <v>0</v>
      </c>
      <c r="E1" s="5" t="s">
        <v>7</v>
      </c>
      <c r="F1" s="2" t="s">
        <v>43</v>
      </c>
      <c r="G1" s="250" t="s">
        <v>44</v>
      </c>
      <c r="H1" s="2" t="s">
        <v>1</v>
      </c>
      <c r="I1" s="3" t="s">
        <v>42</v>
      </c>
      <c r="J1" s="4" t="s">
        <v>0</v>
      </c>
      <c r="K1" s="5" t="s">
        <v>7</v>
      </c>
      <c r="L1" s="3" t="s">
        <v>44</v>
      </c>
      <c r="M1" s="250" t="s">
        <v>45</v>
      </c>
      <c r="N1" s="2" t="s">
        <v>1</v>
      </c>
      <c r="O1" s="3" t="s">
        <v>42</v>
      </c>
      <c r="P1" s="4" t="s">
        <v>0</v>
      </c>
      <c r="Q1" s="5" t="s">
        <v>7</v>
      </c>
      <c r="R1" s="3" t="s">
        <v>45</v>
      </c>
      <c r="S1" s="251" t="s">
        <v>46</v>
      </c>
      <c r="T1" s="2" t="s">
        <v>1</v>
      </c>
      <c r="U1" s="61" t="s">
        <v>42</v>
      </c>
      <c r="V1" s="202" t="s">
        <v>0</v>
      </c>
      <c r="W1" s="201" t="s">
        <v>7</v>
      </c>
      <c r="X1" s="202" t="s">
        <v>46</v>
      </c>
    </row>
    <row r="2" spans="1:24" ht="18.600000000000001" thickBot="1" x14ac:dyDescent="0.4">
      <c r="B2" s="6" t="s">
        <v>2</v>
      </c>
      <c r="C2" s="7" t="s">
        <v>47</v>
      </c>
      <c r="D2" s="241" t="s">
        <v>48</v>
      </c>
      <c r="E2" s="152">
        <v>0.03</v>
      </c>
      <c r="F2" s="123"/>
      <c r="H2" s="6" t="s">
        <v>2</v>
      </c>
      <c r="I2" s="7" t="s">
        <v>47</v>
      </c>
      <c r="J2" s="241" t="s">
        <v>48</v>
      </c>
      <c r="K2" s="152">
        <v>2.5239999999999999E-2</v>
      </c>
      <c r="L2" s="124"/>
      <c r="N2" s="6" t="s">
        <v>2</v>
      </c>
      <c r="O2" s="9" t="s">
        <v>49</v>
      </c>
      <c r="P2" s="242" t="s">
        <v>32</v>
      </c>
      <c r="Q2" s="150">
        <v>0.01</v>
      </c>
      <c r="R2" s="12"/>
      <c r="T2" s="191" t="s">
        <v>2</v>
      </c>
      <c r="U2" s="176" t="s">
        <v>53</v>
      </c>
      <c r="V2" s="257" t="s">
        <v>54</v>
      </c>
      <c r="W2" s="207">
        <v>0.02</v>
      </c>
      <c r="X2" s="193"/>
    </row>
    <row r="3" spans="1:24" ht="18" x14ac:dyDescent="0.35">
      <c r="B3" s="8"/>
      <c r="C3" s="9" t="s">
        <v>49</v>
      </c>
      <c r="D3" s="242" t="s">
        <v>32</v>
      </c>
      <c r="E3" s="150">
        <v>0.01</v>
      </c>
      <c r="F3" s="11"/>
      <c r="H3" s="8"/>
      <c r="I3" s="9" t="s">
        <v>49</v>
      </c>
      <c r="J3" s="242" t="s">
        <v>32</v>
      </c>
      <c r="K3" s="150">
        <v>0.01</v>
      </c>
      <c r="L3" s="12"/>
      <c r="N3" s="8"/>
      <c r="O3" s="13" t="s">
        <v>50</v>
      </c>
      <c r="P3" s="243" t="s">
        <v>3</v>
      </c>
      <c r="Q3" s="154">
        <v>9.9999999999999995E-7</v>
      </c>
      <c r="R3" s="12"/>
      <c r="T3" s="8"/>
      <c r="U3" s="13" t="s">
        <v>144</v>
      </c>
      <c r="V3" s="243" t="s">
        <v>55</v>
      </c>
      <c r="W3" s="157">
        <v>8.0000000000000002E-3</v>
      </c>
      <c r="X3" s="194"/>
    </row>
    <row r="4" spans="1:24" ht="18" x14ac:dyDescent="0.35">
      <c r="B4" s="8"/>
      <c r="C4" s="13" t="s">
        <v>50</v>
      </c>
      <c r="D4" s="243" t="s">
        <v>3</v>
      </c>
      <c r="E4" s="154">
        <v>9.9999999999999995E-7</v>
      </c>
      <c r="F4" s="11"/>
      <c r="H4" s="8"/>
      <c r="I4" s="13" t="s">
        <v>50</v>
      </c>
      <c r="J4" s="243" t="s">
        <v>3</v>
      </c>
      <c r="K4" s="154">
        <v>9.9999999999999995E-7</v>
      </c>
      <c r="L4" s="12"/>
      <c r="N4" s="8"/>
      <c r="O4" s="13" t="s">
        <v>51</v>
      </c>
      <c r="P4" s="243" t="s">
        <v>52</v>
      </c>
      <c r="Q4" s="150">
        <v>20</v>
      </c>
      <c r="R4" s="12"/>
      <c r="U4" s="13" t="s">
        <v>216</v>
      </c>
      <c r="V4" s="243" t="s">
        <v>206</v>
      </c>
      <c r="W4" s="157"/>
      <c r="X4" s="194"/>
    </row>
    <row r="5" spans="1:24" ht="18.600000000000001" thickBot="1" x14ac:dyDescent="0.4">
      <c r="B5" s="8"/>
      <c r="C5" s="13" t="s">
        <v>51</v>
      </c>
      <c r="D5" s="243" t="s">
        <v>52</v>
      </c>
      <c r="E5" s="150">
        <v>10</v>
      </c>
      <c r="F5" s="11"/>
      <c r="H5" s="8"/>
      <c r="I5" s="13" t="s">
        <v>51</v>
      </c>
      <c r="J5" s="243" t="s">
        <v>52</v>
      </c>
      <c r="K5" s="150">
        <v>0</v>
      </c>
      <c r="L5" s="12"/>
      <c r="N5" s="8"/>
      <c r="O5" s="15" t="s">
        <v>56</v>
      </c>
      <c r="P5" s="244" t="s">
        <v>57</v>
      </c>
      <c r="Q5" s="153">
        <v>5.9999999999999995E-4</v>
      </c>
      <c r="R5" s="12"/>
      <c r="U5" s="15" t="s">
        <v>217</v>
      </c>
      <c r="V5" s="244" t="s">
        <v>207</v>
      </c>
      <c r="W5" s="157"/>
      <c r="X5" s="194"/>
    </row>
    <row r="6" spans="1:24" ht="18.600000000000001" thickBot="1" x14ac:dyDescent="0.4">
      <c r="B6" s="8"/>
      <c r="C6" s="15" t="s">
        <v>56</v>
      </c>
      <c r="D6" s="244" t="s">
        <v>57</v>
      </c>
      <c r="E6" s="153">
        <v>5.9999999999999995E-4</v>
      </c>
      <c r="F6" s="11"/>
      <c r="H6" s="8"/>
      <c r="I6" s="15" t="s">
        <v>56</v>
      </c>
      <c r="J6" s="244" t="s">
        <v>57</v>
      </c>
      <c r="K6" s="153">
        <v>5.9999999999999995E-4</v>
      </c>
      <c r="L6" s="12"/>
      <c r="N6" s="17" t="s">
        <v>4</v>
      </c>
      <c r="O6" s="18" t="s">
        <v>58</v>
      </c>
      <c r="P6" s="245" t="s">
        <v>5</v>
      </c>
      <c r="Q6" s="150">
        <v>1</v>
      </c>
      <c r="R6" s="12"/>
      <c r="T6" s="17" t="s">
        <v>4</v>
      </c>
      <c r="U6" s="189" t="s">
        <v>58</v>
      </c>
      <c r="V6" s="258" t="s">
        <v>5</v>
      </c>
      <c r="W6" s="190">
        <v>10</v>
      </c>
      <c r="X6" s="208"/>
    </row>
    <row r="7" spans="1:24" ht="18.600000000000001" thickBot="1" x14ac:dyDescent="0.4">
      <c r="B7" s="17" t="s">
        <v>4</v>
      </c>
      <c r="C7" s="18" t="s">
        <v>58</v>
      </c>
      <c r="D7" s="245" t="s">
        <v>5</v>
      </c>
      <c r="E7" s="150">
        <v>1</v>
      </c>
      <c r="F7" s="11"/>
      <c r="H7" s="17" t="s">
        <v>4</v>
      </c>
      <c r="I7" s="18" t="s">
        <v>58</v>
      </c>
      <c r="J7" s="245" t="s">
        <v>5</v>
      </c>
      <c r="K7" s="150">
        <v>1</v>
      </c>
      <c r="L7" s="12"/>
      <c r="N7" s="19" t="s">
        <v>6</v>
      </c>
      <c r="O7" s="23" t="s">
        <v>59</v>
      </c>
      <c r="P7" s="24" t="s">
        <v>60</v>
      </c>
      <c r="Q7" s="155"/>
      <c r="R7" s="12"/>
      <c r="T7" s="19" t="s">
        <v>6</v>
      </c>
      <c r="U7" s="26" t="s">
        <v>62</v>
      </c>
      <c r="V7" s="259" t="s">
        <v>63</v>
      </c>
      <c r="W7" s="150">
        <v>0.85</v>
      </c>
      <c r="X7" s="206"/>
    </row>
    <row r="8" spans="1:24" ht="18.600000000000001" thickBot="1" x14ac:dyDescent="0.4">
      <c r="B8" s="19" t="s">
        <v>6</v>
      </c>
      <c r="C8" s="20" t="s">
        <v>191</v>
      </c>
      <c r="D8" s="21" t="s">
        <v>192</v>
      </c>
      <c r="E8" s="22">
        <v>24</v>
      </c>
      <c r="F8" s="11"/>
      <c r="H8" s="19" t="s">
        <v>6</v>
      </c>
      <c r="I8" s="23" t="s">
        <v>59</v>
      </c>
      <c r="J8" s="24" t="s">
        <v>60</v>
      </c>
      <c r="K8" s="155"/>
      <c r="L8" s="12"/>
      <c r="N8" s="8"/>
      <c r="O8" s="26" t="s">
        <v>62</v>
      </c>
      <c r="P8" s="266" t="s">
        <v>63</v>
      </c>
      <c r="Q8" s="150"/>
      <c r="R8" s="12"/>
      <c r="T8" s="34" t="s">
        <v>68</v>
      </c>
      <c r="U8" s="35" t="s">
        <v>69</v>
      </c>
      <c r="V8" s="247" t="s">
        <v>70</v>
      </c>
      <c r="W8" s="151">
        <v>5</v>
      </c>
      <c r="X8" s="192"/>
    </row>
    <row r="9" spans="1:24" ht="19.8" thickBot="1" x14ac:dyDescent="0.5">
      <c r="B9" s="8"/>
      <c r="C9" s="23" t="s">
        <v>59</v>
      </c>
      <c r="D9" s="246" t="s">
        <v>60</v>
      </c>
      <c r="E9" s="155">
        <v>1.45E-5</v>
      </c>
      <c r="F9" s="11"/>
      <c r="H9" s="8"/>
      <c r="I9" s="26" t="s">
        <v>62</v>
      </c>
      <c r="J9" s="266" t="s">
        <v>63</v>
      </c>
      <c r="K9" s="150"/>
      <c r="L9" s="12"/>
      <c r="N9" s="34" t="s">
        <v>68</v>
      </c>
      <c r="O9" s="35" t="s">
        <v>69</v>
      </c>
      <c r="P9" s="247" t="s">
        <v>70</v>
      </c>
      <c r="Q9" s="151">
        <v>15</v>
      </c>
      <c r="R9" s="12"/>
      <c r="T9" s="36" t="s">
        <v>11</v>
      </c>
      <c r="U9" s="37" t="s">
        <v>71</v>
      </c>
      <c r="V9" s="248" t="s">
        <v>14</v>
      </c>
      <c r="W9" s="149">
        <v>200</v>
      </c>
      <c r="X9" s="192"/>
    </row>
    <row r="10" spans="1:24" ht="19.8" thickBot="1" x14ac:dyDescent="0.5">
      <c r="B10" s="8"/>
      <c r="C10" s="26" t="s">
        <v>62</v>
      </c>
      <c r="D10" s="259" t="s">
        <v>63</v>
      </c>
      <c r="E10" s="150">
        <v>7</v>
      </c>
      <c r="F10" s="11"/>
      <c r="H10" s="27" t="s">
        <v>8</v>
      </c>
      <c r="I10" s="136" t="s">
        <v>65</v>
      </c>
      <c r="J10" s="137" t="s">
        <v>66</v>
      </c>
      <c r="K10" s="30">
        <v>30</v>
      </c>
      <c r="L10" s="12"/>
      <c r="N10" s="36" t="s">
        <v>11</v>
      </c>
      <c r="O10" s="37" t="s">
        <v>71</v>
      </c>
      <c r="P10" s="248" t="s">
        <v>14</v>
      </c>
      <c r="Q10" s="149">
        <v>242</v>
      </c>
      <c r="R10" s="12"/>
      <c r="U10" s="144" t="s">
        <v>179</v>
      </c>
      <c r="V10" s="145" t="s">
        <v>72</v>
      </c>
      <c r="W10" s="30">
        <v>60</v>
      </c>
      <c r="X10" s="192"/>
    </row>
    <row r="11" spans="1:24" ht="19.8" thickBot="1" x14ac:dyDescent="0.5">
      <c r="B11" s="27" t="s">
        <v>8</v>
      </c>
      <c r="C11" s="28" t="s">
        <v>64</v>
      </c>
      <c r="D11" s="29" t="s">
        <v>10</v>
      </c>
      <c r="E11" s="30">
        <v>300</v>
      </c>
      <c r="F11" s="11"/>
      <c r="H11" s="34" t="s">
        <v>68</v>
      </c>
      <c r="I11" s="35" t="s">
        <v>69</v>
      </c>
      <c r="J11" s="247" t="s">
        <v>70</v>
      </c>
      <c r="K11" s="151">
        <v>5</v>
      </c>
      <c r="L11" s="12"/>
      <c r="N11" s="8"/>
      <c r="O11" s="39" t="s">
        <v>26</v>
      </c>
      <c r="P11" s="256" t="s">
        <v>13</v>
      </c>
      <c r="Q11" s="10">
        <v>1120</v>
      </c>
      <c r="R11" s="12"/>
      <c r="T11" s="41" t="s">
        <v>12</v>
      </c>
      <c r="U11" s="42" t="s">
        <v>29</v>
      </c>
      <c r="V11" s="252" t="s">
        <v>15</v>
      </c>
      <c r="W11" s="149">
        <v>60</v>
      </c>
      <c r="X11" s="192"/>
    </row>
    <row r="12" spans="1:24" ht="19.8" thickBot="1" x14ac:dyDescent="0.5">
      <c r="B12" s="8"/>
      <c r="C12" s="32" t="s">
        <v>67</v>
      </c>
      <c r="D12" s="33" t="s">
        <v>9</v>
      </c>
      <c r="E12" s="30">
        <v>900</v>
      </c>
      <c r="F12" s="11"/>
      <c r="H12" s="36" t="s">
        <v>11</v>
      </c>
      <c r="I12" s="37" t="s">
        <v>71</v>
      </c>
      <c r="J12" s="248" t="s">
        <v>14</v>
      </c>
      <c r="K12" s="149">
        <v>50</v>
      </c>
      <c r="L12" s="12"/>
      <c r="N12" s="41" t="s">
        <v>12</v>
      </c>
      <c r="O12" s="42" t="s">
        <v>29</v>
      </c>
      <c r="P12" s="252" t="s">
        <v>15</v>
      </c>
      <c r="Q12" s="149">
        <v>60</v>
      </c>
      <c r="R12" s="12"/>
      <c r="T12" s="8"/>
      <c r="U12" s="43" t="s">
        <v>186</v>
      </c>
      <c r="V12" s="253" t="s">
        <v>73</v>
      </c>
      <c r="W12" s="150">
        <v>0.3</v>
      </c>
      <c r="X12" s="192"/>
    </row>
    <row r="13" spans="1:24" ht="30" thickBot="1" x14ac:dyDescent="0.4">
      <c r="B13" s="34" t="s">
        <v>68</v>
      </c>
      <c r="C13" s="35" t="s">
        <v>69</v>
      </c>
      <c r="D13" s="247" t="s">
        <v>70</v>
      </c>
      <c r="E13" s="151">
        <v>5</v>
      </c>
      <c r="F13" s="11"/>
      <c r="H13" s="8"/>
      <c r="I13" s="39" t="s">
        <v>26</v>
      </c>
      <c r="J13" s="40" t="s">
        <v>13</v>
      </c>
      <c r="K13" s="10">
        <v>950</v>
      </c>
      <c r="L13" s="12"/>
      <c r="N13" s="8"/>
      <c r="O13" s="43" t="s">
        <v>186</v>
      </c>
      <c r="P13" s="253" t="s">
        <v>73</v>
      </c>
      <c r="Q13" s="150">
        <v>0.75</v>
      </c>
      <c r="R13" s="12"/>
      <c r="T13" s="8"/>
      <c r="U13" s="44" t="s">
        <v>187</v>
      </c>
      <c r="V13" s="254" t="s">
        <v>74</v>
      </c>
      <c r="W13" s="150">
        <v>1</v>
      </c>
      <c r="X13" s="192"/>
    </row>
    <row r="14" spans="1:24" ht="45.6" thickBot="1" x14ac:dyDescent="0.5">
      <c r="B14" s="36" t="s">
        <v>11</v>
      </c>
      <c r="C14" s="37" t="s">
        <v>71</v>
      </c>
      <c r="D14" s="248" t="s">
        <v>14</v>
      </c>
      <c r="E14" s="149">
        <v>400</v>
      </c>
      <c r="F14" s="11"/>
      <c r="H14" s="41" t="s">
        <v>12</v>
      </c>
      <c r="I14" s="42" t="s">
        <v>29</v>
      </c>
      <c r="J14" s="252" t="s">
        <v>15</v>
      </c>
      <c r="K14" s="149">
        <v>60</v>
      </c>
      <c r="L14" s="12"/>
      <c r="N14" s="8"/>
      <c r="O14" s="44" t="s">
        <v>187</v>
      </c>
      <c r="P14" s="254" t="s">
        <v>74</v>
      </c>
      <c r="Q14" s="150">
        <v>0.3</v>
      </c>
      <c r="R14" s="12"/>
      <c r="T14" s="8"/>
      <c r="U14" s="45" t="s">
        <v>188</v>
      </c>
      <c r="V14" s="254" t="s">
        <v>16</v>
      </c>
      <c r="W14" s="150">
        <v>0.3</v>
      </c>
      <c r="X14" s="192"/>
    </row>
    <row r="15" spans="1:24" ht="18.600000000000001" thickBot="1" x14ac:dyDescent="0.4">
      <c r="B15" s="8"/>
      <c r="C15" s="39" t="s">
        <v>26</v>
      </c>
      <c r="D15" s="40" t="s">
        <v>13</v>
      </c>
      <c r="E15" s="10">
        <v>4430</v>
      </c>
      <c r="F15" s="11"/>
      <c r="H15" s="8"/>
      <c r="I15" s="43" t="s">
        <v>186</v>
      </c>
      <c r="J15" s="253" t="s">
        <v>73</v>
      </c>
      <c r="K15" s="150">
        <v>0.8</v>
      </c>
      <c r="L15" s="12"/>
      <c r="N15" s="8"/>
      <c r="O15" s="45" t="s">
        <v>75</v>
      </c>
      <c r="P15" s="254" t="s">
        <v>16</v>
      </c>
      <c r="Q15" s="150">
        <v>0.5</v>
      </c>
      <c r="R15" s="12"/>
      <c r="T15" s="8"/>
      <c r="U15" s="46" t="s">
        <v>189</v>
      </c>
      <c r="V15" s="260" t="s">
        <v>35</v>
      </c>
      <c r="W15" s="150"/>
      <c r="X15" s="192"/>
    </row>
    <row r="16" spans="1:24" ht="45.6" thickBot="1" x14ac:dyDescent="0.5">
      <c r="B16" s="41" t="s">
        <v>12</v>
      </c>
      <c r="C16" s="42" t="s">
        <v>29</v>
      </c>
      <c r="D16" s="252" t="s">
        <v>15</v>
      </c>
      <c r="E16" s="149">
        <v>60</v>
      </c>
      <c r="F16" s="11"/>
      <c r="H16" s="8"/>
      <c r="I16" s="44" t="s">
        <v>187</v>
      </c>
      <c r="J16" s="254" t="s">
        <v>74</v>
      </c>
      <c r="K16" s="150">
        <v>0.1</v>
      </c>
      <c r="L16" s="12"/>
      <c r="N16" s="8"/>
      <c r="O16" s="46" t="s">
        <v>189</v>
      </c>
      <c r="P16" s="260" t="s">
        <v>35</v>
      </c>
      <c r="Q16" s="150"/>
      <c r="R16" s="12"/>
      <c r="T16" s="47" t="s">
        <v>17</v>
      </c>
      <c r="U16" s="48" t="s">
        <v>23</v>
      </c>
      <c r="V16" s="49" t="s">
        <v>18</v>
      </c>
      <c r="W16" s="30">
        <v>15000</v>
      </c>
      <c r="X16" s="192"/>
    </row>
    <row r="17" spans="2:24" ht="18.600000000000001" thickBot="1" x14ac:dyDescent="0.4">
      <c r="B17" s="8"/>
      <c r="C17" s="43" t="s">
        <v>186</v>
      </c>
      <c r="D17" s="253" t="s">
        <v>73</v>
      </c>
      <c r="E17" s="150">
        <v>1</v>
      </c>
      <c r="F17" s="11"/>
      <c r="H17" s="8"/>
      <c r="I17" s="45" t="s">
        <v>188</v>
      </c>
      <c r="J17" s="254" t="s">
        <v>16</v>
      </c>
      <c r="K17" s="150">
        <v>0.4</v>
      </c>
      <c r="L17" s="12"/>
      <c r="N17" s="47" t="s">
        <v>17</v>
      </c>
      <c r="O17" s="48" t="s">
        <v>23</v>
      </c>
      <c r="P17" s="49" t="s">
        <v>18</v>
      </c>
      <c r="Q17" s="30">
        <v>6150</v>
      </c>
      <c r="R17" s="12"/>
      <c r="U17" s="50" t="s">
        <v>24</v>
      </c>
      <c r="V17" s="51" t="s">
        <v>19</v>
      </c>
      <c r="W17" s="30">
        <v>30600</v>
      </c>
      <c r="X17" s="192"/>
    </row>
    <row r="18" spans="2:24" ht="30" thickBot="1" x14ac:dyDescent="0.4">
      <c r="B18" s="8"/>
      <c r="C18" s="44" t="s">
        <v>187</v>
      </c>
      <c r="D18" s="254" t="s">
        <v>74</v>
      </c>
      <c r="E18" s="150">
        <v>10</v>
      </c>
      <c r="F18" s="11"/>
      <c r="H18" s="8"/>
      <c r="I18" s="46" t="s">
        <v>189</v>
      </c>
      <c r="J18" s="260" t="s">
        <v>35</v>
      </c>
      <c r="K18" s="150"/>
      <c r="L18" s="12"/>
      <c r="O18" s="50" t="s">
        <v>24</v>
      </c>
      <c r="P18" s="51" t="s">
        <v>19</v>
      </c>
      <c r="Q18" s="30">
        <v>5500</v>
      </c>
      <c r="R18" s="12"/>
      <c r="U18" s="55" t="s">
        <v>190</v>
      </c>
      <c r="V18" s="56" t="s">
        <v>21</v>
      </c>
      <c r="W18" s="57">
        <v>800</v>
      </c>
      <c r="X18" s="192"/>
    </row>
    <row r="19" spans="2:24" ht="20.399999999999999" thickBot="1" x14ac:dyDescent="0.45">
      <c r="B19" s="8"/>
      <c r="C19" s="45" t="s">
        <v>188</v>
      </c>
      <c r="D19" s="254" t="s">
        <v>16</v>
      </c>
      <c r="E19" s="150">
        <v>1</v>
      </c>
      <c r="F19" s="11"/>
      <c r="H19" s="47" t="s">
        <v>17</v>
      </c>
      <c r="I19" s="48" t="s">
        <v>23</v>
      </c>
      <c r="J19" s="49" t="s">
        <v>18</v>
      </c>
      <c r="K19" s="30">
        <v>20000</v>
      </c>
      <c r="L19" s="12"/>
      <c r="O19" s="55" t="s">
        <v>181</v>
      </c>
      <c r="P19" s="255" t="s">
        <v>183</v>
      </c>
      <c r="Q19" s="156">
        <v>1E-4</v>
      </c>
      <c r="R19" s="12"/>
      <c r="T19" s="60" t="s">
        <v>1</v>
      </c>
      <c r="U19" s="61" t="s">
        <v>77</v>
      </c>
      <c r="V19" s="62" t="s">
        <v>78</v>
      </c>
      <c r="W19" s="201" t="s">
        <v>22</v>
      </c>
      <c r="X19" s="202" t="s">
        <v>46</v>
      </c>
    </row>
    <row r="20" spans="2:24" ht="18.600000000000001" thickBot="1" x14ac:dyDescent="0.4">
      <c r="B20" s="8"/>
      <c r="C20" s="46" t="s">
        <v>189</v>
      </c>
      <c r="D20" s="260" t="s">
        <v>35</v>
      </c>
      <c r="E20" s="150">
        <v>5</v>
      </c>
      <c r="F20" s="11"/>
      <c r="I20" s="50" t="s">
        <v>24</v>
      </c>
      <c r="J20" s="51" t="s">
        <v>19</v>
      </c>
      <c r="K20" s="30">
        <v>0</v>
      </c>
      <c r="L20" s="12"/>
      <c r="O20" s="55" t="s">
        <v>194</v>
      </c>
      <c r="P20" s="56" t="s">
        <v>184</v>
      </c>
      <c r="Q20" s="147">
        <v>10.7666</v>
      </c>
      <c r="R20" s="12"/>
      <c r="T20" s="19" t="s">
        <v>6</v>
      </c>
      <c r="U20" s="234" t="s">
        <v>61</v>
      </c>
      <c r="V20" s="235" t="s">
        <v>230</v>
      </c>
      <c r="W20" s="236">
        <f>(W7*(1 - W25))/W6</f>
        <v>8.4999999999999992E-2</v>
      </c>
      <c r="X20" s="193"/>
    </row>
    <row r="21" spans="2:24" ht="18.600000000000001" thickBot="1" x14ac:dyDescent="0.4">
      <c r="B21" s="47" t="s">
        <v>17</v>
      </c>
      <c r="C21" s="48" t="s">
        <v>23</v>
      </c>
      <c r="D21" s="49" t="s">
        <v>18</v>
      </c>
      <c r="E21" s="30">
        <v>50000</v>
      </c>
      <c r="F21" s="11"/>
      <c r="I21" s="52" t="s">
        <v>76</v>
      </c>
      <c r="J21" s="53" t="s">
        <v>20</v>
      </c>
      <c r="K21" s="54">
        <v>0.11840000000000001</v>
      </c>
      <c r="L21" s="12"/>
      <c r="N21" s="8"/>
      <c r="O21" s="55" t="s">
        <v>190</v>
      </c>
      <c r="P21" s="56" t="s">
        <v>21</v>
      </c>
      <c r="Q21" s="57">
        <v>800</v>
      </c>
      <c r="R21" s="59"/>
      <c r="T21" s="210" t="s">
        <v>11</v>
      </c>
      <c r="U21" s="212" t="s">
        <v>218</v>
      </c>
      <c r="V21" s="216" t="s">
        <v>210</v>
      </c>
      <c r="W21" s="237">
        <f xml:space="preserve"> (W2 + W3)</f>
        <v>2.8000000000000001E-2</v>
      </c>
      <c r="X21" s="194"/>
    </row>
    <row r="22" spans="2:24" ht="20.399999999999999" thickBot="1" x14ac:dyDescent="0.45">
      <c r="C22" s="50" t="s">
        <v>24</v>
      </c>
      <c r="D22" s="51" t="s">
        <v>19</v>
      </c>
      <c r="E22" s="30">
        <v>27500</v>
      </c>
      <c r="F22" s="11"/>
      <c r="I22" s="55" t="s">
        <v>181</v>
      </c>
      <c r="J22" s="255" t="s">
        <v>183</v>
      </c>
      <c r="K22" s="156">
        <v>1E-4</v>
      </c>
      <c r="L22" s="12"/>
      <c r="N22" s="60" t="s">
        <v>1</v>
      </c>
      <c r="O22" s="61" t="s">
        <v>77</v>
      </c>
      <c r="P22" s="62" t="s">
        <v>78</v>
      </c>
      <c r="Q22" s="5" t="s">
        <v>22</v>
      </c>
      <c r="R22" s="3" t="s">
        <v>45</v>
      </c>
      <c r="U22" s="213" t="s">
        <v>223</v>
      </c>
      <c r="V22" s="217" t="s">
        <v>211</v>
      </c>
      <c r="W22" s="238">
        <f xml:space="preserve"> W21 * W6</f>
        <v>0.28000000000000003</v>
      </c>
      <c r="X22" s="194"/>
    </row>
    <row r="23" spans="2:24" ht="18.600000000000001" thickBot="1" x14ac:dyDescent="0.4">
      <c r="C23" s="52" t="s">
        <v>76</v>
      </c>
      <c r="D23" s="53" t="s">
        <v>20</v>
      </c>
      <c r="E23" s="54">
        <v>6.25E-2</v>
      </c>
      <c r="F23" s="11"/>
      <c r="I23" s="55" t="s">
        <v>201</v>
      </c>
      <c r="J23" s="56" t="s">
        <v>184</v>
      </c>
      <c r="K23" s="147">
        <v>30.2</v>
      </c>
      <c r="L23" s="12"/>
      <c r="N23" s="63" t="s">
        <v>2</v>
      </c>
      <c r="O23" s="64" t="s">
        <v>79</v>
      </c>
      <c r="P23" s="65" t="s">
        <v>80</v>
      </c>
      <c r="Q23" s="66">
        <f>Q3*(1+(Q4/100))</f>
        <v>1.1999999999999999E-6</v>
      </c>
      <c r="R23" s="124"/>
      <c r="U23" s="213" t="s">
        <v>219</v>
      </c>
      <c r="V23" s="217" t="s">
        <v>212</v>
      </c>
      <c r="W23" s="238">
        <f xml:space="preserve"> W4+W5</f>
        <v>0</v>
      </c>
      <c r="X23" s="194"/>
    </row>
    <row r="24" spans="2:24" ht="15" thickBot="1" x14ac:dyDescent="0.35">
      <c r="C24" s="55" t="s">
        <v>181</v>
      </c>
      <c r="D24" s="255" t="s">
        <v>183</v>
      </c>
      <c r="E24" s="156">
        <v>2.0000000000000002E-5</v>
      </c>
      <c r="F24" s="11"/>
      <c r="I24" s="55" t="s">
        <v>190</v>
      </c>
      <c r="J24" s="56" t="s">
        <v>21</v>
      </c>
      <c r="K24" s="57">
        <v>800</v>
      </c>
      <c r="L24" s="59"/>
      <c r="N24" s="67"/>
      <c r="O24" s="9" t="s">
        <v>81</v>
      </c>
      <c r="P24" s="68" t="s">
        <v>82</v>
      </c>
      <c r="Q24" s="69">
        <f>Q23*Q6</f>
        <v>1.1999999999999999E-6</v>
      </c>
      <c r="R24" s="12"/>
      <c r="U24" s="213" t="s">
        <v>220</v>
      </c>
      <c r="V24" s="217" t="s">
        <v>213</v>
      </c>
      <c r="W24" s="238">
        <f xml:space="preserve"> W22 + W23</f>
        <v>0.28000000000000003</v>
      </c>
      <c r="X24" s="194"/>
    </row>
    <row r="25" spans="2:24" ht="20.399999999999999" thickBot="1" x14ac:dyDescent="0.45">
      <c r="C25" s="55" t="s">
        <v>201</v>
      </c>
      <c r="D25" s="56" t="s">
        <v>184</v>
      </c>
      <c r="E25" s="147">
        <v>11.85</v>
      </c>
      <c r="F25" s="11"/>
      <c r="H25" s="60" t="s">
        <v>1</v>
      </c>
      <c r="I25" s="61" t="s">
        <v>77</v>
      </c>
      <c r="J25" s="62" t="s">
        <v>78</v>
      </c>
      <c r="K25" s="5" t="s">
        <v>22</v>
      </c>
      <c r="L25" s="3" t="s">
        <v>44</v>
      </c>
      <c r="N25" s="67"/>
      <c r="O25" s="9" t="s">
        <v>83</v>
      </c>
      <c r="P25" s="68" t="s">
        <v>84</v>
      </c>
      <c r="Q25" s="70">
        <f>Q7*(1+(Q4/100))</f>
        <v>0</v>
      </c>
      <c r="R25" s="12"/>
      <c r="U25" s="213" t="s">
        <v>224</v>
      </c>
      <c r="V25" s="217" t="s">
        <v>214</v>
      </c>
      <c r="W25" s="238">
        <f xml:space="preserve"> W23/W24</f>
        <v>0</v>
      </c>
      <c r="X25" s="194"/>
    </row>
    <row r="26" spans="2:24" ht="18.600000000000001" thickBot="1" x14ac:dyDescent="0.4">
      <c r="C26" s="55" t="s">
        <v>190</v>
      </c>
      <c r="D26" s="56" t="s">
        <v>21</v>
      </c>
      <c r="E26" s="57">
        <v>800</v>
      </c>
      <c r="F26" s="58"/>
      <c r="H26" s="175" t="s">
        <v>2</v>
      </c>
      <c r="I26" s="176" t="s">
        <v>79</v>
      </c>
      <c r="J26" s="65" t="s">
        <v>80</v>
      </c>
      <c r="K26" s="178">
        <f>K4*(1+(K5/100))</f>
        <v>9.9999999999999995E-7</v>
      </c>
      <c r="L26" s="124"/>
      <c r="N26" s="67"/>
      <c r="O26" s="13" t="s">
        <v>25</v>
      </c>
      <c r="P26" s="71" t="s">
        <v>85</v>
      </c>
      <c r="Q26" s="25">
        <f>Q24+Q25</f>
        <v>1.1999999999999999E-6</v>
      </c>
      <c r="R26" s="12"/>
      <c r="U26" s="214" t="s">
        <v>112</v>
      </c>
      <c r="V26" s="209" t="s">
        <v>222</v>
      </c>
      <c r="W26" s="238">
        <f xml:space="preserve"> (W2*W9) + (W3*W10)</f>
        <v>4.4800000000000004</v>
      </c>
      <c r="X26" s="194"/>
    </row>
    <row r="27" spans="2:24" ht="20.399999999999999" thickBot="1" x14ac:dyDescent="0.45">
      <c r="B27" s="60" t="s">
        <v>1</v>
      </c>
      <c r="C27" s="61" t="s">
        <v>77</v>
      </c>
      <c r="D27" s="62" t="s">
        <v>78</v>
      </c>
      <c r="E27" s="5" t="s">
        <v>22</v>
      </c>
      <c r="F27" s="2" t="s">
        <v>43</v>
      </c>
      <c r="H27" s="67"/>
      <c r="I27" s="9" t="s">
        <v>81</v>
      </c>
      <c r="J27" s="68" t="s">
        <v>82</v>
      </c>
      <c r="K27" s="179">
        <f>K26*K7</f>
        <v>9.9999999999999995E-7</v>
      </c>
      <c r="L27" s="12"/>
      <c r="N27" s="67"/>
      <c r="O27" s="72" t="s">
        <v>86</v>
      </c>
      <c r="P27" s="73" t="s">
        <v>87</v>
      </c>
      <c r="Q27" s="25">
        <f>(Q25/(Q25+Q24))</f>
        <v>0</v>
      </c>
      <c r="R27" s="12"/>
      <c r="U27" s="215" t="s">
        <v>221</v>
      </c>
      <c r="V27" s="272" t="s">
        <v>245</v>
      </c>
      <c r="W27" s="238">
        <f>((W9*W2*W6)+(W10*W3*W6)) + ((W9*W4)+(W10*W5))</f>
        <v>44.8</v>
      </c>
      <c r="X27" s="194"/>
    </row>
    <row r="28" spans="2:24" ht="18.600000000000001" thickBot="1" x14ac:dyDescent="0.4">
      <c r="B28" s="175" t="s">
        <v>2</v>
      </c>
      <c r="C28" s="176" t="s">
        <v>79</v>
      </c>
      <c r="D28" s="65" t="s">
        <v>80</v>
      </c>
      <c r="E28" s="66">
        <f>E4*(1+(E5/100))</f>
        <v>1.1000000000000001E-6</v>
      </c>
      <c r="F28" s="123"/>
      <c r="H28" s="67"/>
      <c r="I28" s="9" t="s">
        <v>83</v>
      </c>
      <c r="J28" s="68" t="s">
        <v>84</v>
      </c>
      <c r="K28" s="180">
        <f>K8*(1+(K5/100))</f>
        <v>0</v>
      </c>
      <c r="L28" s="12"/>
      <c r="O28" s="72" t="s">
        <v>202</v>
      </c>
      <c r="P28" s="73" t="s">
        <v>199</v>
      </c>
      <c r="Q28" s="186">
        <f>Q3/Q2</f>
        <v>9.9999999999999991E-5</v>
      </c>
      <c r="R28" s="12"/>
      <c r="T28" s="41" t="s">
        <v>12</v>
      </c>
      <c r="U28" s="211" t="s">
        <v>33</v>
      </c>
      <c r="V28" s="264" t="s">
        <v>241</v>
      </c>
      <c r="W28" s="238">
        <f>(W12+W13)*W11</f>
        <v>78</v>
      </c>
      <c r="X28" s="194"/>
    </row>
    <row r="29" spans="2:24" ht="18.600000000000001" thickBot="1" x14ac:dyDescent="0.4">
      <c r="B29" s="67"/>
      <c r="C29" s="9" t="s">
        <v>81</v>
      </c>
      <c r="D29" s="68" t="s">
        <v>82</v>
      </c>
      <c r="E29" s="69">
        <f>E28*E7</f>
        <v>1.1000000000000001E-6</v>
      </c>
      <c r="F29" s="11"/>
      <c r="H29" s="67"/>
      <c r="I29" s="13" t="s">
        <v>25</v>
      </c>
      <c r="J29" s="71" t="s">
        <v>85</v>
      </c>
      <c r="K29" s="158">
        <f>K27+K28</f>
        <v>9.9999999999999995E-7</v>
      </c>
      <c r="L29" s="12"/>
      <c r="N29" s="181" t="s">
        <v>4</v>
      </c>
      <c r="O29" s="185" t="s">
        <v>92</v>
      </c>
      <c r="P29" s="74" t="s">
        <v>93</v>
      </c>
      <c r="Q29" s="187">
        <f>Q26*Q11</f>
        <v>1.3439999999999999E-3</v>
      </c>
      <c r="R29" s="182"/>
      <c r="U29" s="92" t="s">
        <v>34</v>
      </c>
      <c r="V29" s="264" t="s">
        <v>242</v>
      </c>
      <c r="W29" s="238">
        <f>W15*W11</f>
        <v>0</v>
      </c>
      <c r="X29" s="194"/>
    </row>
    <row r="30" spans="2:24" ht="18.600000000000001" thickBot="1" x14ac:dyDescent="0.4">
      <c r="B30" s="67"/>
      <c r="C30" s="9" t="s">
        <v>83</v>
      </c>
      <c r="D30" s="68" t="s">
        <v>84</v>
      </c>
      <c r="E30" s="70">
        <f>E9*(1+(E5/100))</f>
        <v>1.5950000000000001E-5</v>
      </c>
      <c r="F30" s="11"/>
      <c r="H30" s="67"/>
      <c r="I30" s="13" t="s">
        <v>86</v>
      </c>
      <c r="J30" s="71" t="s">
        <v>87</v>
      </c>
      <c r="K30" s="158">
        <f>(K28/(K28+K27))</f>
        <v>0</v>
      </c>
      <c r="L30" s="12"/>
      <c r="N30" s="19" t="s">
        <v>6</v>
      </c>
      <c r="O30" s="139" t="s">
        <v>229</v>
      </c>
      <c r="P30" s="140" t="s">
        <v>226</v>
      </c>
      <c r="Q30" s="188">
        <f>(((0.443861388125002*Q28) + (40.3913863193753*Q5) - (0.00693486047810125))*Q6) + ((Q20*(Q2/Q19))/3600) + 0.3</f>
        <v>0.61641657967455865</v>
      </c>
      <c r="R30" s="182"/>
      <c r="U30" s="45" t="s">
        <v>113</v>
      </c>
      <c r="V30" s="93" t="s">
        <v>215</v>
      </c>
      <c r="W30" s="238">
        <f>W11*(((W12+W13)-((W12+W13)*W25))/W6)</f>
        <v>7.8000000000000007</v>
      </c>
      <c r="X30" s="194"/>
    </row>
    <row r="31" spans="2:24" ht="18.600000000000001" thickBot="1" x14ac:dyDescent="0.4">
      <c r="B31" s="67"/>
      <c r="C31" s="13" t="s">
        <v>25</v>
      </c>
      <c r="D31" s="71" t="s">
        <v>85</v>
      </c>
      <c r="E31" s="25">
        <f>E29+E30</f>
        <v>1.7050000000000001E-5</v>
      </c>
      <c r="F31" s="11"/>
      <c r="I31" s="15" t="s">
        <v>203</v>
      </c>
      <c r="J31" s="177" t="s">
        <v>198</v>
      </c>
      <c r="K31" s="158">
        <f>K4/K3</f>
        <v>9.9999999999999991E-5</v>
      </c>
      <c r="L31" s="12"/>
      <c r="N31" s="36" t="s">
        <v>11</v>
      </c>
      <c r="O31" s="183" t="s">
        <v>103</v>
      </c>
      <c r="P31" s="87" t="s">
        <v>104</v>
      </c>
      <c r="Q31" s="184">
        <f>Q11*Q23</f>
        <v>1.3439999999999999E-3</v>
      </c>
      <c r="R31" s="12"/>
      <c r="U31" s="94" t="s">
        <v>115</v>
      </c>
      <c r="V31" s="172" t="s">
        <v>116</v>
      </c>
      <c r="W31" s="238">
        <f>W11*W14</f>
        <v>18</v>
      </c>
      <c r="X31" s="194"/>
    </row>
    <row r="32" spans="2:24" ht="18.600000000000001" thickBot="1" x14ac:dyDescent="0.4">
      <c r="B32" s="67"/>
      <c r="C32" s="13" t="s">
        <v>86</v>
      </c>
      <c r="D32" s="71" t="s">
        <v>87</v>
      </c>
      <c r="E32" s="25">
        <f>(E30/(E30+E29))</f>
        <v>0.93548387096774199</v>
      </c>
      <c r="F32" s="11"/>
      <c r="H32" s="17" t="s">
        <v>4</v>
      </c>
      <c r="I32" s="159" t="s">
        <v>27</v>
      </c>
      <c r="J32" s="77" t="s">
        <v>89</v>
      </c>
      <c r="K32" s="75">
        <f>K21*K2</f>
        <v>2.9884159999999998E-3</v>
      </c>
      <c r="L32" s="12"/>
      <c r="O32" s="38" t="s">
        <v>105</v>
      </c>
      <c r="P32" s="87" t="s">
        <v>106</v>
      </c>
      <c r="Q32" s="16">
        <f>Q31*Q6</f>
        <v>1.3439999999999999E-3</v>
      </c>
      <c r="R32" s="12"/>
      <c r="T32" s="198" t="s">
        <v>17</v>
      </c>
      <c r="U32" s="199" t="s">
        <v>28</v>
      </c>
      <c r="V32" s="173" t="s">
        <v>117</v>
      </c>
      <c r="W32" s="238">
        <f>(W17+W16)/W18</f>
        <v>57</v>
      </c>
      <c r="X32" s="194"/>
    </row>
    <row r="33" spans="2:24" ht="15" thickBot="1" x14ac:dyDescent="0.35">
      <c r="C33" s="15" t="s">
        <v>202</v>
      </c>
      <c r="D33" s="177" t="s">
        <v>197</v>
      </c>
      <c r="E33" s="25">
        <f>E4/E3</f>
        <v>9.9999999999999991E-5</v>
      </c>
      <c r="F33" s="11"/>
      <c r="H33" s="67"/>
      <c r="I33" s="76" t="s">
        <v>90</v>
      </c>
      <c r="J33" s="77" t="s">
        <v>91</v>
      </c>
      <c r="K33" s="10">
        <f>K13*K32</f>
        <v>2.8389951999999998</v>
      </c>
      <c r="L33" s="12"/>
      <c r="O33" s="88" t="s">
        <v>107</v>
      </c>
      <c r="P33" s="89" t="s">
        <v>108</v>
      </c>
      <c r="Q33" s="16">
        <f>Q25*Q11</f>
        <v>0</v>
      </c>
      <c r="R33" s="12"/>
      <c r="U33" s="52" t="s">
        <v>118</v>
      </c>
      <c r="V33" s="174" t="s">
        <v>235</v>
      </c>
      <c r="W33" s="238">
        <f>(W32*W20)</f>
        <v>4.8449999999999998</v>
      </c>
      <c r="X33" s="194"/>
    </row>
    <row r="34" spans="2:24" ht="18.600000000000001" thickBot="1" x14ac:dyDescent="0.4">
      <c r="B34" s="17" t="s">
        <v>4</v>
      </c>
      <c r="C34" s="159" t="s">
        <v>27</v>
      </c>
      <c r="D34" s="160" t="s">
        <v>89</v>
      </c>
      <c r="E34" s="75">
        <f>E23*E2</f>
        <v>1.8749999999999999E-3</v>
      </c>
      <c r="F34" s="11"/>
      <c r="H34" s="67"/>
      <c r="I34" s="78" t="s">
        <v>92</v>
      </c>
      <c r="J34" s="79" t="s">
        <v>93</v>
      </c>
      <c r="K34" s="14">
        <f>K29*K13</f>
        <v>9.5E-4</v>
      </c>
      <c r="L34" s="12"/>
      <c r="O34" s="90" t="s">
        <v>109</v>
      </c>
      <c r="P34" s="268" t="s">
        <v>240</v>
      </c>
      <c r="Q34" s="30">
        <f>Q10*(Q32+Q33)</f>
        <v>0.32524799999999998</v>
      </c>
      <c r="R34" s="12"/>
      <c r="U34" s="200" t="s">
        <v>30</v>
      </c>
      <c r="V34" s="273" t="s">
        <v>246</v>
      </c>
      <c r="W34" s="239">
        <f>W32*W7</f>
        <v>48.449999999999996</v>
      </c>
      <c r="X34" s="194"/>
    </row>
    <row r="35" spans="2:24" ht="20.399999999999999" thickBot="1" x14ac:dyDescent="0.45">
      <c r="B35" s="67"/>
      <c r="C35" s="76" t="s">
        <v>90</v>
      </c>
      <c r="D35" s="160" t="s">
        <v>91</v>
      </c>
      <c r="E35" s="10">
        <f>E15*E34</f>
        <v>8.3062500000000004</v>
      </c>
      <c r="F35" s="11"/>
      <c r="H35" s="80" t="s">
        <v>6</v>
      </c>
      <c r="I35" s="138" t="s">
        <v>145</v>
      </c>
      <c r="J35" s="82" t="s">
        <v>94</v>
      </c>
      <c r="K35" s="75">
        <f>K32-K29</f>
        <v>2.9874159999999997E-3</v>
      </c>
      <c r="L35" s="12"/>
      <c r="O35" s="88" t="s">
        <v>110</v>
      </c>
      <c r="P35" s="89" t="s">
        <v>111</v>
      </c>
      <c r="Q35" s="30">
        <f>Q31*Q10</f>
        <v>0.32524799999999998</v>
      </c>
      <c r="R35" s="12"/>
      <c r="T35" s="60" t="s">
        <v>1</v>
      </c>
      <c r="U35" s="196" t="s">
        <v>119</v>
      </c>
      <c r="V35" s="197" t="s">
        <v>120</v>
      </c>
      <c r="W35" s="240" t="s">
        <v>121</v>
      </c>
      <c r="X35" s="195"/>
    </row>
    <row r="36" spans="2:24" ht="18.600000000000001" thickBot="1" x14ac:dyDescent="0.4">
      <c r="B36" s="67"/>
      <c r="C36" s="78" t="s">
        <v>92</v>
      </c>
      <c r="D36" s="161" t="s">
        <v>93</v>
      </c>
      <c r="E36" s="14">
        <f>E31*E15</f>
        <v>7.5531500000000001E-2</v>
      </c>
      <c r="F36" s="11"/>
      <c r="H36" s="67"/>
      <c r="I36" s="139" t="s">
        <v>229</v>
      </c>
      <c r="J36" s="163" t="s">
        <v>227</v>
      </c>
      <c r="K36" s="10">
        <f>(((-7.18990908706941*K31)+(4.79212427878716*K6)+(0.00432519782291612))*K7)+((K23*(K3/K22))/3600) + 1.8</f>
        <v>2.6453703703703706</v>
      </c>
      <c r="L36" s="12"/>
      <c r="N36" s="41" t="s">
        <v>12</v>
      </c>
      <c r="O36" s="91" t="s">
        <v>33</v>
      </c>
      <c r="P36" s="269" t="s">
        <v>241</v>
      </c>
      <c r="Q36" s="30">
        <f>(Q13+Q14)*Q12</f>
        <v>63</v>
      </c>
      <c r="R36" s="12"/>
      <c r="T36" s="99" t="s">
        <v>122</v>
      </c>
      <c r="U36" s="100" t="s">
        <v>123</v>
      </c>
      <c r="V36" s="101" t="s">
        <v>236</v>
      </c>
      <c r="W36" s="102">
        <f>(W30+W31+W33+W26)*(1+(W8/100))</f>
        <v>36.881250000000001</v>
      </c>
    </row>
    <row r="37" spans="2:24" ht="18.600000000000001" thickBot="1" x14ac:dyDescent="0.4">
      <c r="B37" s="80" t="s">
        <v>6</v>
      </c>
      <c r="C37" s="81" t="s">
        <v>145</v>
      </c>
      <c r="D37" s="162" t="s">
        <v>94</v>
      </c>
      <c r="E37" s="75">
        <f>E34-E31</f>
        <v>1.8579499999999999E-3</v>
      </c>
      <c r="F37" s="11"/>
      <c r="H37" s="27" t="s">
        <v>8</v>
      </c>
      <c r="I37" s="141" t="s">
        <v>99</v>
      </c>
      <c r="J37" s="267" t="s">
        <v>239</v>
      </c>
      <c r="K37" s="30">
        <f>K10</f>
        <v>30</v>
      </c>
      <c r="L37" s="12"/>
      <c r="O37" s="92" t="s">
        <v>34</v>
      </c>
      <c r="P37" s="270" t="s">
        <v>242</v>
      </c>
      <c r="Q37" s="30">
        <f>Q16*Q12</f>
        <v>0</v>
      </c>
      <c r="R37" s="12"/>
      <c r="U37" s="103" t="s">
        <v>125</v>
      </c>
      <c r="V37" s="104" t="s">
        <v>126</v>
      </c>
      <c r="W37" s="30">
        <f>(W30+W31+W33+W26)</f>
        <v>35.125</v>
      </c>
    </row>
    <row r="38" spans="2:24" ht="15" thickBot="1" x14ac:dyDescent="0.35">
      <c r="B38" s="67"/>
      <c r="C38" s="139" t="s">
        <v>233</v>
      </c>
      <c r="D38" s="163" t="s">
        <v>200</v>
      </c>
      <c r="E38" s="148">
        <f>(((E33*1931.99716035339)+(E6*37.0624259084378)-0.0321038382470686)*E7) + ((E25*(E3/E24))/3600)</f>
        <v>1.8291666666666662</v>
      </c>
      <c r="F38" s="11"/>
      <c r="H38" s="67"/>
      <c r="I38" s="142" t="s">
        <v>101</v>
      </c>
      <c r="J38" s="143" t="s">
        <v>102</v>
      </c>
      <c r="K38" s="30">
        <f>(K37-(K37*K30))/K7</f>
        <v>30</v>
      </c>
      <c r="L38" s="12"/>
      <c r="O38" s="45" t="s">
        <v>113</v>
      </c>
      <c r="P38" s="93" t="s">
        <v>114</v>
      </c>
      <c r="Q38" s="30">
        <f>Q12*(((Q13+Q14)-((Q13+Q14)*Q27))/Q6)</f>
        <v>63</v>
      </c>
      <c r="R38" s="12"/>
      <c r="U38" s="103" t="s">
        <v>127</v>
      </c>
      <c r="V38" s="104" t="s">
        <v>128</v>
      </c>
      <c r="W38" s="30">
        <f>W36-W37</f>
        <v>1.7562500000000014</v>
      </c>
    </row>
    <row r="39" spans="2:24" ht="18.600000000000001" thickBot="1" x14ac:dyDescent="0.4">
      <c r="B39" s="27" t="s">
        <v>8</v>
      </c>
      <c r="C39" s="28" t="s">
        <v>95</v>
      </c>
      <c r="D39" s="164" t="s">
        <v>234</v>
      </c>
      <c r="E39" s="30">
        <f>(3+0.6*(E38)*3.03)</f>
        <v>6.3254249999999992</v>
      </c>
      <c r="F39" s="11"/>
      <c r="G39" t="s">
        <v>100</v>
      </c>
      <c r="H39" s="36" t="s">
        <v>11</v>
      </c>
      <c r="I39" s="37" t="s">
        <v>103</v>
      </c>
      <c r="J39" s="86" t="s">
        <v>104</v>
      </c>
      <c r="K39" s="16">
        <f>K13*K26</f>
        <v>9.5E-4</v>
      </c>
      <c r="L39" s="12"/>
      <c r="O39" s="94" t="s">
        <v>115</v>
      </c>
      <c r="P39" s="95" t="s">
        <v>116</v>
      </c>
      <c r="Q39" s="30">
        <f>Q12*Q15</f>
        <v>30</v>
      </c>
      <c r="R39" s="12"/>
      <c r="U39" s="103" t="s">
        <v>129</v>
      </c>
      <c r="V39" s="104" t="s">
        <v>205</v>
      </c>
      <c r="W39" s="30">
        <f>W34+W29+W28+W27</f>
        <v>171.25</v>
      </c>
    </row>
    <row r="40" spans="2:24" ht="18.600000000000001" thickBot="1" x14ac:dyDescent="0.4">
      <c r="B40" s="67"/>
      <c r="C40" s="31" t="s">
        <v>96</v>
      </c>
      <c r="D40" s="165" t="s">
        <v>97</v>
      </c>
      <c r="E40" s="30">
        <f>E11/7</f>
        <v>42.857142857142854</v>
      </c>
      <c r="F40" s="11"/>
      <c r="I40" s="38" t="s">
        <v>105</v>
      </c>
      <c r="J40" s="87" t="s">
        <v>106</v>
      </c>
      <c r="K40" s="16">
        <f>K39*K7</f>
        <v>9.5E-4</v>
      </c>
      <c r="L40" s="12"/>
      <c r="N40" s="47" t="s">
        <v>17</v>
      </c>
      <c r="O40" s="48" t="s">
        <v>28</v>
      </c>
      <c r="P40" s="96" t="s">
        <v>117</v>
      </c>
      <c r="Q40" s="30">
        <f>(Q18+Q17)/Q21</f>
        <v>14.5625</v>
      </c>
      <c r="R40" s="12"/>
      <c r="U40" s="103" t="s">
        <v>131</v>
      </c>
      <c r="V40" s="104" t="s">
        <v>232</v>
      </c>
      <c r="W40" s="75">
        <f>W20</f>
        <v>8.4999999999999992E-2</v>
      </c>
    </row>
    <row r="41" spans="2:24" ht="15" thickBot="1" x14ac:dyDescent="0.35">
      <c r="B41" s="67" t="s">
        <v>88</v>
      </c>
      <c r="C41" s="83" t="s">
        <v>98</v>
      </c>
      <c r="D41" s="166" t="s">
        <v>193</v>
      </c>
      <c r="E41" s="30">
        <f>E12/E8</f>
        <v>37.5</v>
      </c>
      <c r="F41" s="11"/>
      <c r="I41" s="88" t="s">
        <v>107</v>
      </c>
      <c r="J41" s="89" t="s">
        <v>108</v>
      </c>
      <c r="K41" s="16">
        <f>K28*K13</f>
        <v>0</v>
      </c>
      <c r="L41" s="12"/>
      <c r="O41" s="97" t="s">
        <v>30</v>
      </c>
      <c r="P41" s="271" t="s">
        <v>243</v>
      </c>
      <c r="Q41" s="30">
        <f>Q40*Q8</f>
        <v>0</v>
      </c>
      <c r="R41" s="12"/>
      <c r="U41" s="103" t="s">
        <v>92</v>
      </c>
      <c r="V41" s="104" t="s">
        <v>204</v>
      </c>
      <c r="W41" s="108">
        <f>W24</f>
        <v>0.28000000000000003</v>
      </c>
    </row>
    <row r="42" spans="2:24" ht="20.399999999999999" thickBot="1" x14ac:dyDescent="0.45">
      <c r="B42" s="67"/>
      <c r="C42" s="84" t="s">
        <v>99</v>
      </c>
      <c r="D42" s="261" t="s">
        <v>239</v>
      </c>
      <c r="E42" s="30">
        <f>E39+E41+E40</f>
        <v>86.682567857142857</v>
      </c>
      <c r="F42" s="11"/>
      <c r="I42" s="90" t="s">
        <v>109</v>
      </c>
      <c r="J42" s="268" t="s">
        <v>244</v>
      </c>
      <c r="K42" s="30">
        <f>(K12/2)*(K40+K41)</f>
        <v>2.375E-2</v>
      </c>
      <c r="L42" s="12"/>
      <c r="O42" s="55" t="s">
        <v>118</v>
      </c>
      <c r="P42" s="174" t="s">
        <v>228</v>
      </c>
      <c r="Q42" s="98">
        <f>(Q40*Q30)/Q6</f>
        <v>8.9765664415107604</v>
      </c>
      <c r="R42" s="59"/>
      <c r="U42" s="109" t="s">
        <v>36</v>
      </c>
      <c r="V42" s="110" t="s">
        <v>136</v>
      </c>
      <c r="W42" s="111" t="s">
        <v>137</v>
      </c>
    </row>
    <row r="43" spans="2:24" ht="20.399999999999999" thickBot="1" x14ac:dyDescent="0.45">
      <c r="B43" s="67"/>
      <c r="C43" s="85" t="s">
        <v>101</v>
      </c>
      <c r="D43" s="167" t="s">
        <v>102</v>
      </c>
      <c r="E43" s="30">
        <f>(E42-(E42*E32))/E7</f>
        <v>5.5924237327188848</v>
      </c>
      <c r="F43" s="11"/>
      <c r="I43" s="88" t="s">
        <v>110</v>
      </c>
      <c r="J43" s="89" t="s">
        <v>180</v>
      </c>
      <c r="K43" s="30">
        <f>K39*(K12/2)</f>
        <v>2.375E-2</v>
      </c>
      <c r="L43" s="12"/>
      <c r="N43" s="60" t="s">
        <v>1</v>
      </c>
      <c r="O43" s="61" t="s">
        <v>119</v>
      </c>
      <c r="P43" s="62" t="s">
        <v>120</v>
      </c>
      <c r="Q43" s="5" t="s">
        <v>121</v>
      </c>
      <c r="U43" s="112" t="s">
        <v>37</v>
      </c>
      <c r="V43" s="113" t="s">
        <v>138</v>
      </c>
      <c r="W43" s="114">
        <f>W26</f>
        <v>4.4800000000000004</v>
      </c>
    </row>
    <row r="44" spans="2:24" ht="18.600000000000001" thickBot="1" x14ac:dyDescent="0.4">
      <c r="B44" s="36" t="s">
        <v>11</v>
      </c>
      <c r="C44" s="37" t="s">
        <v>103</v>
      </c>
      <c r="D44" s="168" t="s">
        <v>104</v>
      </c>
      <c r="E44" s="16">
        <f>E15*E28</f>
        <v>4.8730000000000006E-3</v>
      </c>
      <c r="F44" s="11"/>
      <c r="H44" s="41" t="s">
        <v>12</v>
      </c>
      <c r="I44" s="91" t="s">
        <v>33</v>
      </c>
      <c r="J44" s="269" t="s">
        <v>241</v>
      </c>
      <c r="K44" s="30">
        <f>(K15+K16)*K14</f>
        <v>54</v>
      </c>
      <c r="L44" s="12"/>
      <c r="N44" s="99" t="s">
        <v>122</v>
      </c>
      <c r="O44" s="100" t="s">
        <v>123</v>
      </c>
      <c r="P44" s="101" t="s">
        <v>124</v>
      </c>
      <c r="Q44" s="102">
        <f>(Q35+Q38+Q39+Q42)*(1+(Q9/100))</f>
        <v>117.64708660773736</v>
      </c>
      <c r="U44" s="117" t="s">
        <v>38</v>
      </c>
      <c r="V44" s="118" t="s">
        <v>141</v>
      </c>
      <c r="W44" s="116">
        <f>W38</f>
        <v>1.7562500000000014</v>
      </c>
    </row>
    <row r="45" spans="2:24" x14ac:dyDescent="0.3">
      <c r="C45" s="38" t="s">
        <v>105</v>
      </c>
      <c r="D45" s="169" t="s">
        <v>106</v>
      </c>
      <c r="E45" s="16">
        <f>E44*E7</f>
        <v>4.8730000000000006E-3</v>
      </c>
      <c r="F45" s="11"/>
      <c r="I45" s="92" t="s">
        <v>34</v>
      </c>
      <c r="J45" s="270" t="s">
        <v>242</v>
      </c>
      <c r="K45" s="30">
        <f>K18*K14</f>
        <v>0</v>
      </c>
      <c r="L45" s="12"/>
      <c r="O45" s="103" t="s">
        <v>125</v>
      </c>
      <c r="P45" s="104" t="s">
        <v>126</v>
      </c>
      <c r="Q45" s="30">
        <f>(Q35+Q38+Q39+Q42)</f>
        <v>102.30181444151076</v>
      </c>
      <c r="U45" s="45" t="s">
        <v>39</v>
      </c>
      <c r="V45" s="119" t="s">
        <v>142</v>
      </c>
      <c r="W45" s="116">
        <f>W30</f>
        <v>7.8000000000000007</v>
      </c>
    </row>
    <row r="46" spans="2:24" x14ac:dyDescent="0.3">
      <c r="C46" s="88" t="s">
        <v>107</v>
      </c>
      <c r="D46" s="170" t="s">
        <v>108</v>
      </c>
      <c r="E46" s="16">
        <f>E30*E15</f>
        <v>7.0658500000000013E-2</v>
      </c>
      <c r="F46" s="11"/>
      <c r="I46" s="45" t="s">
        <v>113</v>
      </c>
      <c r="J46" s="93" t="s">
        <v>114</v>
      </c>
      <c r="K46" s="30">
        <f>K14*(((K15+K16)-((K15+K16)*K30))/K7)</f>
        <v>54</v>
      </c>
      <c r="L46" s="12"/>
      <c r="O46" s="103" t="s">
        <v>127</v>
      </c>
      <c r="P46" s="104" t="s">
        <v>128</v>
      </c>
      <c r="Q46" s="30">
        <f>Q44-Q45</f>
        <v>15.345272166226607</v>
      </c>
      <c r="U46" s="45" t="s">
        <v>40</v>
      </c>
      <c r="V46" s="119" t="s">
        <v>143</v>
      </c>
      <c r="W46" s="116">
        <f>W31</f>
        <v>18</v>
      </c>
    </row>
    <row r="47" spans="2:24" ht="15" thickBot="1" x14ac:dyDescent="0.35">
      <c r="C47" s="90" t="s">
        <v>109</v>
      </c>
      <c r="D47" s="262" t="s">
        <v>240</v>
      </c>
      <c r="E47" s="30">
        <f>E14*(E45+E46)</f>
        <v>30.212600000000005</v>
      </c>
      <c r="F47" s="11"/>
      <c r="I47" s="94" t="s">
        <v>115</v>
      </c>
      <c r="J47" s="95" t="s">
        <v>116</v>
      </c>
      <c r="K47" s="30">
        <f>K14*K17</f>
        <v>24</v>
      </c>
      <c r="L47" s="12"/>
      <c r="O47" s="103" t="s">
        <v>129</v>
      </c>
      <c r="P47" s="104" t="s">
        <v>205</v>
      </c>
      <c r="Q47" s="30">
        <f>Q34+Q41+Q36+Q37</f>
        <v>63.325248000000002</v>
      </c>
      <c r="S47" s="1"/>
      <c r="U47" s="120" t="s">
        <v>41</v>
      </c>
      <c r="V47" s="121" t="s">
        <v>237</v>
      </c>
      <c r="W47" s="122">
        <f>W33</f>
        <v>4.8449999999999998</v>
      </c>
    </row>
    <row r="48" spans="2:24" ht="18.600000000000001" thickBot="1" x14ac:dyDescent="0.4">
      <c r="C48" s="88" t="s">
        <v>110</v>
      </c>
      <c r="D48" s="170" t="s">
        <v>111</v>
      </c>
      <c r="E48" s="30">
        <f>E44*E14</f>
        <v>1.9492000000000003</v>
      </c>
      <c r="F48" s="11"/>
      <c r="H48" s="47" t="s">
        <v>17</v>
      </c>
      <c r="I48" s="48" t="s">
        <v>28</v>
      </c>
      <c r="J48" s="96" t="s">
        <v>117</v>
      </c>
      <c r="K48" s="30">
        <f>(K20+K19)/K24</f>
        <v>25</v>
      </c>
      <c r="L48" s="12"/>
      <c r="O48" s="103" t="s">
        <v>131</v>
      </c>
      <c r="P48" s="104" t="s">
        <v>231</v>
      </c>
      <c r="Q48" s="10">
        <f>Q30/Q6</f>
        <v>0.61641657967455865</v>
      </c>
    </row>
    <row r="49" spans="2:18" ht="18.600000000000001" thickBot="1" x14ac:dyDescent="0.4">
      <c r="B49" s="41" t="s">
        <v>12</v>
      </c>
      <c r="C49" s="91" t="s">
        <v>33</v>
      </c>
      <c r="D49" s="263" t="s">
        <v>241</v>
      </c>
      <c r="E49" s="30">
        <f>(E17+E18)*E16</f>
        <v>660</v>
      </c>
      <c r="F49" s="11"/>
      <c r="I49" s="97" t="s">
        <v>30</v>
      </c>
      <c r="J49" s="271" t="s">
        <v>243</v>
      </c>
      <c r="K49" s="30">
        <f>K48*K9</f>
        <v>0</v>
      </c>
      <c r="L49" s="12"/>
      <c r="O49" s="103" t="s">
        <v>92</v>
      </c>
      <c r="P49" s="104" t="s">
        <v>133</v>
      </c>
      <c r="Q49" s="108">
        <f>Q29</f>
        <v>1.3439999999999999E-3</v>
      </c>
    </row>
    <row r="50" spans="2:18" ht="20.399999999999999" thickBot="1" x14ac:dyDescent="0.45">
      <c r="C50" s="92" t="s">
        <v>34</v>
      </c>
      <c r="D50" s="264" t="s">
        <v>242</v>
      </c>
      <c r="E50" s="30">
        <f>E20*E16</f>
        <v>300</v>
      </c>
      <c r="F50" s="11"/>
      <c r="I50" s="55" t="s">
        <v>118</v>
      </c>
      <c r="J50" s="174" t="s">
        <v>228</v>
      </c>
      <c r="K50" s="98">
        <f>(K48*K36)/K7</f>
        <v>66.134259259259267</v>
      </c>
      <c r="L50" s="59"/>
      <c r="O50" s="109" t="s">
        <v>36</v>
      </c>
      <c r="P50" s="110" t="s">
        <v>136</v>
      </c>
      <c r="Q50" s="111" t="s">
        <v>137</v>
      </c>
    </row>
    <row r="51" spans="2:18" ht="20.399999999999999" thickBot="1" x14ac:dyDescent="0.45">
      <c r="C51" s="45" t="s">
        <v>113</v>
      </c>
      <c r="D51" s="171" t="s">
        <v>114</v>
      </c>
      <c r="E51" s="30">
        <f>E16*(((E17+E18)-((E17+E18)*E32))/E7)</f>
        <v>42.580645161290285</v>
      </c>
      <c r="F51" s="11"/>
      <c r="H51" s="60" t="s">
        <v>1</v>
      </c>
      <c r="I51" s="61" t="s">
        <v>119</v>
      </c>
      <c r="J51" s="62" t="s">
        <v>120</v>
      </c>
      <c r="K51" s="5" t="s">
        <v>121</v>
      </c>
      <c r="O51" s="112" t="s">
        <v>37</v>
      </c>
      <c r="P51" s="113" t="s">
        <v>138</v>
      </c>
      <c r="Q51" s="114">
        <f>Q35</f>
        <v>0.32524799999999998</v>
      </c>
    </row>
    <row r="52" spans="2:18" ht="18.600000000000001" thickBot="1" x14ac:dyDescent="0.4">
      <c r="C52" s="94" t="s">
        <v>115</v>
      </c>
      <c r="D52" s="172" t="s">
        <v>116</v>
      </c>
      <c r="E52" s="30">
        <f>E16*E19</f>
        <v>60</v>
      </c>
      <c r="F52" s="11"/>
      <c r="H52" s="99" t="s">
        <v>122</v>
      </c>
      <c r="I52" s="100" t="s">
        <v>123</v>
      </c>
      <c r="J52" s="101" t="s">
        <v>124</v>
      </c>
      <c r="K52" s="102">
        <f>(K43+K46+K47+K50+K38)*(1+(K11/100))</f>
        <v>182.86590972222226</v>
      </c>
      <c r="O52" s="117" t="s">
        <v>38</v>
      </c>
      <c r="P52" s="118" t="s">
        <v>141</v>
      </c>
      <c r="Q52" s="116">
        <f>Q46</f>
        <v>15.345272166226607</v>
      </c>
    </row>
    <row r="53" spans="2:18" ht="18.600000000000001" thickBot="1" x14ac:dyDescent="0.4">
      <c r="B53" s="47" t="s">
        <v>17</v>
      </c>
      <c r="C53" s="48" t="s">
        <v>28</v>
      </c>
      <c r="D53" s="173" t="s">
        <v>117</v>
      </c>
      <c r="E53" s="30">
        <f>(E22+E21)/E26</f>
        <v>96.875</v>
      </c>
      <c r="F53" s="11"/>
      <c r="I53" s="103" t="s">
        <v>125</v>
      </c>
      <c r="J53" s="104" t="s">
        <v>126</v>
      </c>
      <c r="K53" s="30">
        <f>(K43+K46+K47+K50+K38)</f>
        <v>174.15800925925927</v>
      </c>
      <c r="O53" s="45" t="s">
        <v>39</v>
      </c>
      <c r="P53" s="119" t="s">
        <v>142</v>
      </c>
      <c r="Q53" s="116">
        <f>Q38</f>
        <v>63</v>
      </c>
      <c r="R53" s="1"/>
    </row>
    <row r="54" spans="2:18" x14ac:dyDescent="0.3">
      <c r="C54" s="97" t="s">
        <v>30</v>
      </c>
      <c r="D54" s="265" t="s">
        <v>243</v>
      </c>
      <c r="E54" s="30">
        <f>E53*E10</f>
        <v>678.125</v>
      </c>
      <c r="F54" s="11"/>
      <c r="I54" s="103" t="s">
        <v>127</v>
      </c>
      <c r="J54" s="104" t="s">
        <v>128</v>
      </c>
      <c r="K54" s="30">
        <f>K52-K53</f>
        <v>8.7079004629629821</v>
      </c>
      <c r="O54" s="45" t="s">
        <v>40</v>
      </c>
      <c r="P54" s="119" t="s">
        <v>143</v>
      </c>
      <c r="Q54" s="116">
        <f>Q39</f>
        <v>30</v>
      </c>
    </row>
    <row r="55" spans="2:18" ht="15" thickBot="1" x14ac:dyDescent="0.35">
      <c r="C55" s="55" t="s">
        <v>118</v>
      </c>
      <c r="D55" s="174" t="s">
        <v>228</v>
      </c>
      <c r="E55" s="98">
        <f>(E53*E38)/E7</f>
        <v>177.20052083333329</v>
      </c>
      <c r="F55" s="58"/>
      <c r="I55" s="103" t="s">
        <v>129</v>
      </c>
      <c r="J55" s="104" t="s">
        <v>130</v>
      </c>
      <c r="K55" s="30">
        <f>K42+K49+K37+K44+K45</f>
        <v>84.023750000000007</v>
      </c>
      <c r="O55" s="120" t="s">
        <v>41</v>
      </c>
      <c r="P55" s="121" t="s">
        <v>238</v>
      </c>
      <c r="Q55" s="122">
        <f>Q42</f>
        <v>8.9765664415107604</v>
      </c>
    </row>
    <row r="56" spans="2:18" ht="20.399999999999999" thickBot="1" x14ac:dyDescent="0.45">
      <c r="B56" s="60" t="s">
        <v>1</v>
      </c>
      <c r="C56" s="61" t="s">
        <v>119</v>
      </c>
      <c r="D56" s="62" t="s">
        <v>120</v>
      </c>
      <c r="E56" s="5" t="s">
        <v>121</v>
      </c>
      <c r="I56" s="103" t="s">
        <v>131</v>
      </c>
      <c r="J56" s="104" t="s">
        <v>231</v>
      </c>
      <c r="K56" s="10">
        <f>K36/K7</f>
        <v>2.6453703703703706</v>
      </c>
    </row>
    <row r="57" spans="2:18" ht="18.600000000000001" thickBot="1" x14ac:dyDescent="0.4">
      <c r="B57" s="99" t="s">
        <v>122</v>
      </c>
      <c r="C57" s="100" t="s">
        <v>123</v>
      </c>
      <c r="D57" s="101" t="s">
        <v>124</v>
      </c>
      <c r="E57" s="102">
        <f>(E48+E51+E52+E55+E43)*(1+(E13/100))</f>
        <v>301.68892921370963</v>
      </c>
      <c r="I57" s="103" t="s">
        <v>31</v>
      </c>
      <c r="J57" s="104" t="s">
        <v>132</v>
      </c>
      <c r="K57" s="105">
        <f>K35*K13</f>
        <v>2.8380451999999998</v>
      </c>
    </row>
    <row r="58" spans="2:18" x14ac:dyDescent="0.3">
      <c r="C58" s="103" t="s">
        <v>125</v>
      </c>
      <c r="D58" s="104" t="s">
        <v>126</v>
      </c>
      <c r="E58" s="30">
        <f>(E48+E51+E52+E55+E43)</f>
        <v>287.32278972734247</v>
      </c>
      <c r="I58" s="103" t="s">
        <v>92</v>
      </c>
      <c r="J58" s="104" t="s">
        <v>133</v>
      </c>
      <c r="K58" s="14">
        <f>K34</f>
        <v>9.5E-4</v>
      </c>
    </row>
    <row r="59" spans="2:18" ht="15" thickBot="1" x14ac:dyDescent="0.35">
      <c r="C59" s="103" t="s">
        <v>127</v>
      </c>
      <c r="D59" s="104" t="s">
        <v>128</v>
      </c>
      <c r="E59" s="30">
        <f>E57-E58</f>
        <v>14.36613948636716</v>
      </c>
      <c r="I59" s="106" t="s">
        <v>134</v>
      </c>
      <c r="J59" s="107" t="s">
        <v>135</v>
      </c>
      <c r="K59" s="108">
        <f>K33</f>
        <v>2.8389951999999998</v>
      </c>
    </row>
    <row r="60" spans="2:18" ht="20.399999999999999" thickBot="1" x14ac:dyDescent="0.45">
      <c r="C60" s="103" t="s">
        <v>129</v>
      </c>
      <c r="D60" s="104" t="s">
        <v>130</v>
      </c>
      <c r="E60" s="30">
        <f>E47+E54+E42+E49+E50</f>
        <v>1755.020167857143</v>
      </c>
      <c r="I60" s="109" t="s">
        <v>36</v>
      </c>
      <c r="J60" s="110" t="s">
        <v>136</v>
      </c>
      <c r="K60" s="111" t="s">
        <v>137</v>
      </c>
    </row>
    <row r="61" spans="2:18" x14ac:dyDescent="0.3">
      <c r="C61" s="103" t="s">
        <v>131</v>
      </c>
      <c r="D61" s="104" t="s">
        <v>231</v>
      </c>
      <c r="E61" s="10">
        <f>E38/E7</f>
        <v>1.8291666666666662</v>
      </c>
      <c r="I61" s="112" t="s">
        <v>37</v>
      </c>
      <c r="J61" s="113" t="s">
        <v>138</v>
      </c>
      <c r="K61" s="114">
        <f>K43</f>
        <v>2.375E-2</v>
      </c>
    </row>
    <row r="62" spans="2:18" x14ac:dyDescent="0.3">
      <c r="C62" s="103" t="s">
        <v>31</v>
      </c>
      <c r="D62" s="104" t="s">
        <v>132</v>
      </c>
      <c r="E62" s="105">
        <f>E37*E15</f>
        <v>8.2307185</v>
      </c>
      <c r="I62" s="83" t="s">
        <v>139</v>
      </c>
      <c r="J62" s="115" t="s">
        <v>140</v>
      </c>
      <c r="K62" s="116">
        <f>K38</f>
        <v>30</v>
      </c>
    </row>
    <row r="63" spans="2:18" x14ac:dyDescent="0.3">
      <c r="C63" s="103" t="s">
        <v>92</v>
      </c>
      <c r="D63" s="104" t="s">
        <v>133</v>
      </c>
      <c r="E63" s="14">
        <f>E36</f>
        <v>7.5531500000000001E-2</v>
      </c>
      <c r="I63" s="117" t="s">
        <v>38</v>
      </c>
      <c r="J63" s="118" t="s">
        <v>141</v>
      </c>
      <c r="K63" s="116">
        <f>K54</f>
        <v>8.7079004629629821</v>
      </c>
    </row>
    <row r="64" spans="2:18" ht="15" thickBot="1" x14ac:dyDescent="0.35">
      <c r="C64" s="106" t="s">
        <v>134</v>
      </c>
      <c r="D64" s="107" t="s">
        <v>135</v>
      </c>
      <c r="E64" s="108">
        <f>E35</f>
        <v>8.3062500000000004</v>
      </c>
      <c r="I64" s="45" t="s">
        <v>39</v>
      </c>
      <c r="J64" s="119" t="s">
        <v>142</v>
      </c>
      <c r="K64" s="116">
        <f>K46</f>
        <v>54</v>
      </c>
    </row>
    <row r="65" spans="3:11" ht="20.399999999999999" thickBot="1" x14ac:dyDescent="0.45">
      <c r="C65" s="109" t="s">
        <v>36</v>
      </c>
      <c r="D65" s="110" t="s">
        <v>136</v>
      </c>
      <c r="E65" s="111" t="s">
        <v>137</v>
      </c>
      <c r="I65" s="45" t="s">
        <v>40</v>
      </c>
      <c r="J65" s="119" t="s">
        <v>143</v>
      </c>
      <c r="K65" s="116">
        <f>K47</f>
        <v>24</v>
      </c>
    </row>
    <row r="66" spans="3:11" ht="15" thickBot="1" x14ac:dyDescent="0.35">
      <c r="C66" s="112" t="s">
        <v>37</v>
      </c>
      <c r="D66" s="113" t="s">
        <v>138</v>
      </c>
      <c r="E66" s="114">
        <f>E48</f>
        <v>1.9492000000000003</v>
      </c>
      <c r="I66" s="120" t="s">
        <v>41</v>
      </c>
      <c r="J66" s="121" t="s">
        <v>238</v>
      </c>
      <c r="K66" s="122">
        <f>K50</f>
        <v>66.134259259259267</v>
      </c>
    </row>
    <row r="67" spans="3:11" x14ac:dyDescent="0.3">
      <c r="C67" s="83" t="s">
        <v>139</v>
      </c>
      <c r="D67" s="115" t="s">
        <v>140</v>
      </c>
      <c r="E67" s="116">
        <f>E43</f>
        <v>5.5924237327188848</v>
      </c>
    </row>
    <row r="68" spans="3:11" x14ac:dyDescent="0.3">
      <c r="C68" s="117" t="s">
        <v>38</v>
      </c>
      <c r="D68" s="118" t="s">
        <v>141</v>
      </c>
      <c r="E68" s="116">
        <f>E59</f>
        <v>14.36613948636716</v>
      </c>
    </row>
    <row r="69" spans="3:11" x14ac:dyDescent="0.3">
      <c r="C69" s="45" t="s">
        <v>39</v>
      </c>
      <c r="D69" s="119" t="s">
        <v>142</v>
      </c>
      <c r="E69" s="116">
        <f>E51</f>
        <v>42.580645161290285</v>
      </c>
    </row>
    <row r="70" spans="3:11" x14ac:dyDescent="0.3">
      <c r="C70" s="45" t="s">
        <v>40</v>
      </c>
      <c r="D70" s="119" t="s">
        <v>143</v>
      </c>
      <c r="E70" s="116">
        <f>E52</f>
        <v>60</v>
      </c>
    </row>
    <row r="71" spans="3:11" ht="15" thickBot="1" x14ac:dyDescent="0.35">
      <c r="C71" s="120" t="s">
        <v>41</v>
      </c>
      <c r="D71" s="121" t="s">
        <v>238</v>
      </c>
      <c r="E71" s="122">
        <f>E55</f>
        <v>177.20052083333329</v>
      </c>
    </row>
  </sheetData>
  <conditionalFormatting sqref="E66:E7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61:K6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51:Q5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43:W4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A4913-491C-43AF-80B2-D4473CFEEE63}">
  <sheetPr codeName="Sheet2"/>
  <dimension ref="A1:AG11"/>
  <sheetViews>
    <sheetView workbookViewId="0">
      <selection activeCell="X24" sqref="X24"/>
    </sheetView>
  </sheetViews>
  <sheetFormatPr defaultRowHeight="14.4" x14ac:dyDescent="0.3"/>
  <cols>
    <col min="1" max="1" width="9.109375" bestFit="1" customWidth="1"/>
    <col min="2" max="2" width="11.21875" bestFit="1" customWidth="1"/>
    <col min="3" max="3" width="8.33203125" bestFit="1" customWidth="1"/>
    <col min="4" max="4" width="16.6640625" bestFit="1" customWidth="1"/>
    <col min="5" max="5" width="34" customWidth="1"/>
    <col min="6" max="6" width="16.6640625" bestFit="1" customWidth="1"/>
    <col min="7" max="7" width="27.6640625" bestFit="1" customWidth="1"/>
    <col min="8" max="8" width="43.44140625" bestFit="1" customWidth="1"/>
    <col min="9" max="9" width="23.77734375" bestFit="1" customWidth="1"/>
    <col min="10" max="10" width="28.109375" bestFit="1" customWidth="1"/>
    <col min="11" max="11" width="14.21875" bestFit="1" customWidth="1"/>
    <col min="12" max="12" width="44.33203125" bestFit="1" customWidth="1"/>
    <col min="13" max="13" width="32.44140625" bestFit="1" customWidth="1"/>
    <col min="14" max="14" width="30.6640625" bestFit="1" customWidth="1"/>
    <col min="15" max="15" width="37.33203125" bestFit="1" customWidth="1"/>
    <col min="16" max="16" width="46.6640625" bestFit="1" customWidth="1"/>
    <col min="17" max="17" width="42.6640625" bestFit="1" customWidth="1"/>
    <col min="18" max="18" width="42.6640625" customWidth="1"/>
    <col min="19" max="19" width="32.33203125" bestFit="1" customWidth="1"/>
    <col min="20" max="20" width="39.33203125" bestFit="1" customWidth="1"/>
    <col min="21" max="21" width="34" bestFit="1" customWidth="1"/>
    <col min="22" max="22" width="30.6640625" bestFit="1" customWidth="1"/>
    <col min="23" max="23" width="34.77734375" bestFit="1" customWidth="1"/>
    <col min="24" max="24" width="30.21875" bestFit="1" customWidth="1"/>
    <col min="25" max="25" width="27.21875" bestFit="1" customWidth="1"/>
    <col min="26" max="26" width="24.88671875" bestFit="1" customWidth="1"/>
    <col min="27" max="27" width="32.21875" bestFit="1" customWidth="1"/>
    <col min="28" max="28" width="28.33203125" bestFit="1" customWidth="1"/>
    <col min="29" max="29" width="36" bestFit="1" customWidth="1"/>
    <col min="30" max="30" width="42.109375" bestFit="1" customWidth="1"/>
    <col min="31" max="31" width="32.6640625" bestFit="1" customWidth="1"/>
    <col min="32" max="32" width="48.6640625" bestFit="1" customWidth="1"/>
    <col min="33" max="33" width="52.109375" bestFit="1" customWidth="1"/>
  </cols>
  <sheetData>
    <row r="1" spans="1:33" ht="15" thickBot="1" x14ac:dyDescent="0.35">
      <c r="A1" s="125" t="s">
        <v>152</v>
      </c>
      <c r="B1" s="126" t="s">
        <v>153</v>
      </c>
      <c r="C1" s="127" t="s">
        <v>154</v>
      </c>
      <c r="D1" s="127" t="s">
        <v>164</v>
      </c>
      <c r="E1" s="127" t="s">
        <v>155</v>
      </c>
      <c r="F1" s="127" t="s">
        <v>58</v>
      </c>
      <c r="G1" s="127" t="s">
        <v>156</v>
      </c>
      <c r="H1" s="127" t="s">
        <v>157</v>
      </c>
      <c r="I1" s="127" t="s">
        <v>158</v>
      </c>
      <c r="J1" s="127" t="s">
        <v>159</v>
      </c>
      <c r="K1" s="127" t="s">
        <v>160</v>
      </c>
      <c r="L1" s="127" t="s">
        <v>161</v>
      </c>
      <c r="M1" s="128" t="s">
        <v>162</v>
      </c>
      <c r="N1" s="128" t="s">
        <v>163</v>
      </c>
      <c r="O1" s="128" t="s">
        <v>51</v>
      </c>
      <c r="P1" s="128" t="s">
        <v>56</v>
      </c>
      <c r="Q1" s="128" t="s">
        <v>165</v>
      </c>
      <c r="R1" s="146" t="s">
        <v>181</v>
      </c>
      <c r="S1" s="129" t="s">
        <v>166</v>
      </c>
      <c r="T1" s="130" t="s">
        <v>167</v>
      </c>
      <c r="U1" s="130" t="s">
        <v>168</v>
      </c>
      <c r="V1" s="131" t="s">
        <v>169</v>
      </c>
      <c r="W1" s="131" t="s">
        <v>170</v>
      </c>
      <c r="X1" s="132" t="s">
        <v>171</v>
      </c>
      <c r="Y1" s="132" t="s">
        <v>172</v>
      </c>
      <c r="Z1" s="133" t="s">
        <v>173</v>
      </c>
      <c r="AA1" s="133" t="s">
        <v>174</v>
      </c>
      <c r="AB1" s="133" t="s">
        <v>175</v>
      </c>
      <c r="AC1" s="133" t="s">
        <v>176</v>
      </c>
      <c r="AD1" s="133" t="s">
        <v>177</v>
      </c>
      <c r="AE1" s="203" t="s">
        <v>178</v>
      </c>
      <c r="AF1" s="204" t="s">
        <v>208</v>
      </c>
      <c r="AG1" s="205" t="s">
        <v>209</v>
      </c>
    </row>
    <row r="2" spans="1:33" x14ac:dyDescent="0.3">
      <c r="A2" s="134">
        <v>44300</v>
      </c>
      <c r="B2" s="135">
        <v>0.78362268518518519</v>
      </c>
      <c r="C2" t="s">
        <v>43</v>
      </c>
      <c r="D2">
        <v>60</v>
      </c>
      <c r="E2">
        <v>9.9999999999999995E-7</v>
      </c>
      <c r="F2">
        <v>1</v>
      </c>
      <c r="G2">
        <v>5</v>
      </c>
      <c r="H2">
        <v>1</v>
      </c>
      <c r="I2">
        <v>10</v>
      </c>
      <c r="J2">
        <v>1</v>
      </c>
      <c r="K2" t="s">
        <v>195</v>
      </c>
      <c r="L2">
        <v>100</v>
      </c>
      <c r="M2">
        <v>0.03</v>
      </c>
      <c r="N2">
        <v>0.01</v>
      </c>
      <c r="O2">
        <v>10</v>
      </c>
      <c r="P2">
        <v>5.9999999999999995E-4</v>
      </c>
      <c r="Q2">
        <v>1.45E-5</v>
      </c>
      <c r="R2">
        <v>2.0000000000000002E-5</v>
      </c>
      <c r="V2">
        <v>7</v>
      </c>
      <c r="W2">
        <v>5</v>
      </c>
      <c r="Z2" s="1"/>
      <c r="AA2" s="1"/>
      <c r="AB2" s="1"/>
      <c r="AC2" s="1"/>
      <c r="AD2" s="1"/>
    </row>
    <row r="3" spans="1:33" x14ac:dyDescent="0.3">
      <c r="A3" s="134">
        <v>44300</v>
      </c>
      <c r="B3" s="135">
        <v>0.78362268518518519</v>
      </c>
      <c r="C3" t="s">
        <v>44</v>
      </c>
      <c r="D3">
        <v>60</v>
      </c>
      <c r="E3">
        <v>9.9999999999999995E-7</v>
      </c>
      <c r="F3">
        <v>1</v>
      </c>
      <c r="G3">
        <v>5</v>
      </c>
      <c r="H3">
        <v>0.8</v>
      </c>
      <c r="I3">
        <v>0.5</v>
      </c>
      <c r="J3">
        <v>0.1</v>
      </c>
      <c r="K3" t="s">
        <v>150</v>
      </c>
      <c r="L3">
        <v>50</v>
      </c>
      <c r="M3">
        <v>3.8240000000000003E-2</v>
      </c>
      <c r="N3">
        <v>0.01</v>
      </c>
      <c r="O3">
        <v>0</v>
      </c>
      <c r="P3">
        <v>5.9999999999999995E-4</v>
      </c>
      <c r="Q3">
        <v>1.45E-5</v>
      </c>
      <c r="R3">
        <v>1E-4</v>
      </c>
      <c r="Z3" s="1"/>
      <c r="AA3" s="1"/>
      <c r="AB3" s="1"/>
      <c r="AC3" s="1"/>
      <c r="AD3" s="1"/>
    </row>
    <row r="4" spans="1:33" x14ac:dyDescent="0.3">
      <c r="A4" s="134">
        <v>44300</v>
      </c>
      <c r="B4" s="135">
        <v>0.78362268518518519</v>
      </c>
      <c r="C4" t="s">
        <v>45</v>
      </c>
      <c r="D4">
        <v>60</v>
      </c>
      <c r="E4">
        <v>9.9999999999999995E-7</v>
      </c>
      <c r="F4">
        <v>1</v>
      </c>
      <c r="G4">
        <v>15</v>
      </c>
      <c r="H4">
        <v>0.1</v>
      </c>
      <c r="I4">
        <v>1</v>
      </c>
      <c r="J4">
        <v>0.1</v>
      </c>
      <c r="K4" t="s">
        <v>182</v>
      </c>
      <c r="L4">
        <v>242</v>
      </c>
      <c r="M4">
        <v>0.03</v>
      </c>
      <c r="N4">
        <v>0.01</v>
      </c>
      <c r="O4">
        <v>15</v>
      </c>
      <c r="P4">
        <v>5.9999999999999995E-4</v>
      </c>
      <c r="Q4">
        <v>1.45E-5</v>
      </c>
      <c r="R4">
        <v>1E-4</v>
      </c>
    </row>
    <row r="5" spans="1:33" x14ac:dyDescent="0.3">
      <c r="A5" s="134">
        <v>44300</v>
      </c>
      <c r="B5" s="135">
        <v>0.78362268518518519</v>
      </c>
      <c r="C5" t="s">
        <v>46</v>
      </c>
      <c r="D5">
        <v>60</v>
      </c>
      <c r="F5">
        <v>1</v>
      </c>
      <c r="G5">
        <v>5</v>
      </c>
      <c r="H5">
        <v>0.1</v>
      </c>
      <c r="I5">
        <v>1</v>
      </c>
      <c r="J5">
        <v>0.1</v>
      </c>
      <c r="K5" t="s">
        <v>151</v>
      </c>
      <c r="L5">
        <v>200</v>
      </c>
      <c r="S5">
        <v>0.02</v>
      </c>
      <c r="T5">
        <v>8.0000000000000002E-3</v>
      </c>
      <c r="U5">
        <v>0.7</v>
      </c>
      <c r="AF5">
        <v>71</v>
      </c>
      <c r="AG5">
        <v>59</v>
      </c>
    </row>
    <row r="6" spans="1:33" x14ac:dyDescent="0.3">
      <c r="A6" s="134">
        <v>44300</v>
      </c>
      <c r="B6" s="135">
        <v>0.78362268518518519</v>
      </c>
      <c r="C6" t="s">
        <v>46</v>
      </c>
      <c r="D6">
        <v>60</v>
      </c>
      <c r="F6">
        <v>10</v>
      </c>
      <c r="G6">
        <v>5</v>
      </c>
      <c r="H6">
        <v>1</v>
      </c>
      <c r="I6">
        <v>1</v>
      </c>
      <c r="J6">
        <v>0.5</v>
      </c>
      <c r="K6" t="s">
        <v>151</v>
      </c>
      <c r="L6">
        <v>200</v>
      </c>
      <c r="S6">
        <v>0.02</v>
      </c>
      <c r="T6">
        <v>8.0000000000000002E-3</v>
      </c>
      <c r="U6">
        <v>0.7</v>
      </c>
      <c r="X6">
        <v>38.495800000000003</v>
      </c>
      <c r="Y6">
        <v>40.4206</v>
      </c>
      <c r="Z6">
        <v>1.9248000000000001</v>
      </c>
      <c r="AA6">
        <v>0.7</v>
      </c>
      <c r="AB6">
        <v>130.28</v>
      </c>
      <c r="AF6">
        <v>71</v>
      </c>
      <c r="AG6">
        <v>59</v>
      </c>
    </row>
    <row r="7" spans="1:33" x14ac:dyDescent="0.3">
      <c r="A7" s="134">
        <v>44300</v>
      </c>
      <c r="B7" s="135">
        <v>0.78362268518518519</v>
      </c>
      <c r="C7" t="s">
        <v>46</v>
      </c>
      <c r="D7">
        <v>60</v>
      </c>
      <c r="F7">
        <v>1</v>
      </c>
      <c r="G7">
        <v>5</v>
      </c>
      <c r="H7">
        <v>0.3</v>
      </c>
      <c r="I7">
        <v>0.3</v>
      </c>
      <c r="J7">
        <v>0.3</v>
      </c>
      <c r="K7" t="s">
        <v>151</v>
      </c>
      <c r="L7">
        <v>200</v>
      </c>
      <c r="S7">
        <v>0.02</v>
      </c>
      <c r="T7">
        <v>8.0000000000000002E-3</v>
      </c>
      <c r="U7">
        <v>0.7</v>
      </c>
      <c r="X7">
        <v>62.387799999999999</v>
      </c>
      <c r="Y7">
        <v>65.507099999999994</v>
      </c>
      <c r="Z7">
        <v>3.1194000000000002</v>
      </c>
      <c r="AA7">
        <v>0.7</v>
      </c>
      <c r="AB7">
        <v>130.02799999999999</v>
      </c>
      <c r="AF7">
        <v>71</v>
      </c>
      <c r="AG7">
        <v>59</v>
      </c>
    </row>
    <row r="8" spans="1:33" x14ac:dyDescent="0.3">
      <c r="A8" s="134">
        <v>44300</v>
      </c>
      <c r="B8" s="135">
        <v>0.78362268518518519</v>
      </c>
      <c r="C8" t="s">
        <v>43</v>
      </c>
      <c r="D8">
        <v>60</v>
      </c>
      <c r="E8">
        <v>9.9999999999999995E-7</v>
      </c>
      <c r="F8">
        <v>1</v>
      </c>
      <c r="G8">
        <v>5</v>
      </c>
      <c r="H8">
        <v>1</v>
      </c>
      <c r="I8">
        <v>4</v>
      </c>
      <c r="J8">
        <v>0.3</v>
      </c>
      <c r="K8" t="s">
        <v>195</v>
      </c>
      <c r="L8">
        <v>100</v>
      </c>
      <c r="M8">
        <v>0.03</v>
      </c>
      <c r="N8">
        <v>0.01</v>
      </c>
      <c r="O8">
        <v>10</v>
      </c>
      <c r="P8">
        <v>5.9999999999999995E-4</v>
      </c>
      <c r="Q8">
        <v>1.45E-5</v>
      </c>
      <c r="R8">
        <v>2.0000000000000002E-5</v>
      </c>
      <c r="V8">
        <v>7</v>
      </c>
      <c r="W8">
        <v>5</v>
      </c>
      <c r="X8">
        <v>221.02780000000001</v>
      </c>
      <c r="Y8">
        <v>232.07919999999999</v>
      </c>
      <c r="Z8">
        <v>11.051399999999999</v>
      </c>
      <c r="AA8">
        <v>1.8291666666666699</v>
      </c>
      <c r="AB8">
        <v>0.13639999999999999</v>
      </c>
      <c r="AC8">
        <v>15</v>
      </c>
      <c r="AD8">
        <v>14.8636</v>
      </c>
      <c r="AE8">
        <v>1378.4476</v>
      </c>
    </row>
    <row r="9" spans="1:33" x14ac:dyDescent="0.3">
      <c r="A9" s="134">
        <v>44300</v>
      </c>
      <c r="B9" s="135">
        <v>0.78362268518518519</v>
      </c>
      <c r="C9" t="s">
        <v>43</v>
      </c>
      <c r="D9">
        <v>60</v>
      </c>
      <c r="E9">
        <v>9.9999999999999995E-7</v>
      </c>
      <c r="F9">
        <v>1</v>
      </c>
      <c r="G9">
        <v>5</v>
      </c>
      <c r="H9">
        <v>1</v>
      </c>
      <c r="I9">
        <v>1</v>
      </c>
      <c r="J9">
        <v>0.3</v>
      </c>
      <c r="K9" t="s">
        <v>195</v>
      </c>
      <c r="L9">
        <v>100</v>
      </c>
      <c r="M9">
        <v>0.01</v>
      </c>
      <c r="N9">
        <v>0.01</v>
      </c>
      <c r="O9">
        <v>10</v>
      </c>
      <c r="P9">
        <v>5.9999999999999995E-4</v>
      </c>
      <c r="R9">
        <v>2.0000000000000002E-5</v>
      </c>
      <c r="X9">
        <v>402.76310000000001</v>
      </c>
      <c r="Y9">
        <v>422.90120000000002</v>
      </c>
      <c r="Z9">
        <v>20.138200000000001</v>
      </c>
      <c r="AA9">
        <v>1.8291666666666699</v>
      </c>
      <c r="AB9">
        <v>8.8000000000000005E-3</v>
      </c>
      <c r="AC9">
        <v>5</v>
      </c>
      <c r="AD9">
        <v>4.9912000000000001</v>
      </c>
      <c r="AE9">
        <v>1378.4476</v>
      </c>
    </row>
    <row r="10" spans="1:33" x14ac:dyDescent="0.3">
      <c r="A10" s="134"/>
      <c r="B10" s="135"/>
    </row>
    <row r="11" spans="1:33" x14ac:dyDescent="0.3">
      <c r="A11" s="134"/>
      <c r="B11" s="13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3AC59-E23E-4CFC-8FE5-353A3B745762}">
  <sheetPr codeName="Sheet3"/>
  <dimension ref="A1:D18"/>
  <sheetViews>
    <sheetView workbookViewId="0">
      <selection activeCell="F21" sqref="F21"/>
    </sheetView>
  </sheetViews>
  <sheetFormatPr defaultRowHeight="14.4" x14ac:dyDescent="0.3"/>
  <cols>
    <col min="1" max="1" width="26.88671875" bestFit="1" customWidth="1"/>
    <col min="3" max="3" width="15.6640625" bestFit="1" customWidth="1"/>
  </cols>
  <sheetData>
    <row r="1" spans="1:4" x14ac:dyDescent="0.3">
      <c r="A1" s="218" t="s">
        <v>225</v>
      </c>
    </row>
    <row r="2" spans="1:4" x14ac:dyDescent="0.3">
      <c r="A2" s="219" t="s">
        <v>43</v>
      </c>
    </row>
    <row r="3" spans="1:4" x14ac:dyDescent="0.3">
      <c r="A3" s="219" t="s">
        <v>44</v>
      </c>
    </row>
    <row r="4" spans="1:4" x14ac:dyDescent="0.3">
      <c r="A4" s="219" t="s">
        <v>45</v>
      </c>
    </row>
    <row r="5" spans="1:4" ht="15" thickBot="1" x14ac:dyDescent="0.35">
      <c r="A5" s="220" t="s">
        <v>46</v>
      </c>
    </row>
    <row r="6" spans="1:4" ht="15" thickBot="1" x14ac:dyDescent="0.35">
      <c r="A6" s="221" t="s">
        <v>146</v>
      </c>
      <c r="B6" s="222" t="s">
        <v>147</v>
      </c>
      <c r="C6" s="222" t="s">
        <v>148</v>
      </c>
      <c r="D6" s="223" t="s">
        <v>149</v>
      </c>
    </row>
    <row r="7" spans="1:4" x14ac:dyDescent="0.3">
      <c r="A7" s="224" t="s">
        <v>185</v>
      </c>
      <c r="B7" s="225">
        <v>60</v>
      </c>
      <c r="C7" s="225"/>
      <c r="D7" s="226" t="s">
        <v>46</v>
      </c>
    </row>
    <row r="8" spans="1:4" x14ac:dyDescent="0.3">
      <c r="A8" s="227" t="s">
        <v>195</v>
      </c>
      <c r="B8" s="228">
        <v>100</v>
      </c>
      <c r="C8" s="228">
        <v>8000</v>
      </c>
      <c r="D8" s="229" t="s">
        <v>43</v>
      </c>
    </row>
    <row r="9" spans="1:4" x14ac:dyDescent="0.3">
      <c r="A9" s="227" t="s">
        <v>196</v>
      </c>
      <c r="B9" s="228">
        <v>400</v>
      </c>
      <c r="C9" s="228">
        <v>4430</v>
      </c>
      <c r="D9" s="229" t="s">
        <v>43</v>
      </c>
    </row>
    <row r="10" spans="1:4" x14ac:dyDescent="0.3">
      <c r="A10" s="227" t="s">
        <v>150</v>
      </c>
      <c r="B10" s="228">
        <v>50</v>
      </c>
      <c r="C10" s="228">
        <v>950</v>
      </c>
      <c r="D10" s="229" t="s">
        <v>44</v>
      </c>
    </row>
    <row r="11" spans="1:4" x14ac:dyDescent="0.3">
      <c r="A11" s="227" t="s">
        <v>182</v>
      </c>
      <c r="B11" s="228">
        <v>242</v>
      </c>
      <c r="C11" s="228">
        <v>1120</v>
      </c>
      <c r="D11" s="229" t="s">
        <v>45</v>
      </c>
    </row>
    <row r="12" spans="1:4" ht="15" thickBot="1" x14ac:dyDescent="0.35">
      <c r="A12" s="233" t="s">
        <v>151</v>
      </c>
      <c r="B12" s="230">
        <v>200</v>
      </c>
      <c r="C12" s="230"/>
      <c r="D12" s="231" t="s">
        <v>46</v>
      </c>
    </row>
    <row r="14" spans="1:4" x14ac:dyDescent="0.3">
      <c r="A14" s="232"/>
    </row>
    <row r="15" spans="1:4" x14ac:dyDescent="0.3">
      <c r="A15" s="232"/>
    </row>
    <row r="16" spans="1:4" x14ac:dyDescent="0.3">
      <c r="A16" s="232"/>
    </row>
    <row r="17" spans="1:1" x14ac:dyDescent="0.3">
      <c r="A17" s="232"/>
    </row>
    <row r="18" spans="1:1" x14ac:dyDescent="0.3">
      <c r="A18" s="232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Skeleton</vt:lpstr>
      <vt:lpstr>Form</vt:lpstr>
      <vt:lpstr>Materials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MARTIN CARDENAS</dc:creator>
  <cp:lastModifiedBy>ALEJANDRO MARTIN CARDENAS</cp:lastModifiedBy>
  <dcterms:created xsi:type="dcterms:W3CDTF">2020-11-13T19:02:18Z</dcterms:created>
  <dcterms:modified xsi:type="dcterms:W3CDTF">2021-04-25T04:52:13Z</dcterms:modified>
</cp:coreProperties>
</file>